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8_{EAAF5D93-F8E4-40E5-BB5D-266B7200D8B7}" xr6:coauthVersionLast="47" xr6:coauthVersionMax="47" xr10:uidLastSave="{00000000-0000-0000-0000-000000000000}"/>
  <bookViews>
    <workbookView xWindow="28680" yWindow="-120" windowWidth="29040" windowHeight="15720" firstSheet="4" activeTab="8" xr2:uid="{1729FEB9-43C0-418D-9DB8-8C45FAFBDDA3}"/>
  </bookViews>
  <sheets>
    <sheet name="USUARIOS" sheetId="1" r:id="rId1"/>
    <sheet name="REGISTROS_ATIVIDADES" sheetId="2" r:id="rId2"/>
    <sheet name="TIPOS_ATIVIDADE" sheetId="3" r:id="rId3"/>
    <sheet name="PARCEIRAS" sheetId="4" r:id="rId4"/>
    <sheet name="FOTOS_ATIVIDADES" sheetId="5" r:id="rId5"/>
    <sheet name="ACOES_PENDENCIAS" sheetId="6" r:id="rId6"/>
    <sheet name="CONFIGURACOES" sheetId="7" r:id="rId7"/>
    <sheet name="LOG_ALTERACOES" sheetId="8" r:id="rId8"/>
    <sheet name="DASHBOARD" sheetId="9" r:id="rId9"/>
    <sheet name="DICIONARIO_DADOS" sheetId="10" r:id="rId10"/>
    <sheet name="EXPRESSOES_APPSHEET" sheetId="11" r:id="rId11"/>
    <sheet name="SCRIPTS_APPS_SCRIPT" sheetId="12" r:id="rId12"/>
    <sheet name="MANUAL_USUARIO" sheetId="13" r:id="rId13"/>
    <sheet name="PLANO_TESTES" sheetId="14" r:id="rId14"/>
    <sheet name="CHECKLIST_IMPLEMENTACAO" sheetId="15" r:id="rId15"/>
    <sheet name="ESTRUTURA_PASTAS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8" i="9" l="1"/>
  <c r="C38" i="9"/>
  <c r="B38" i="9"/>
  <c r="D37" i="9"/>
  <c r="C37" i="9"/>
  <c r="B37" i="9"/>
  <c r="G32" i="9"/>
  <c r="F32" i="9"/>
  <c r="G31" i="9"/>
  <c r="F31" i="9"/>
  <c r="G30" i="9"/>
  <c r="F30" i="9"/>
  <c r="G29" i="9"/>
  <c r="F29" i="9"/>
  <c r="G28" i="9"/>
  <c r="F28" i="9"/>
  <c r="G27" i="9"/>
  <c r="F27" i="9"/>
  <c r="C31" i="9"/>
  <c r="B31" i="9"/>
  <c r="C30" i="9"/>
  <c r="B30" i="9"/>
  <c r="C29" i="9"/>
  <c r="B29" i="9"/>
  <c r="C28" i="9"/>
  <c r="B28" i="9"/>
  <c r="C27" i="9"/>
  <c r="B27" i="9"/>
  <c r="G22" i="9"/>
  <c r="F22" i="9"/>
  <c r="G21" i="9"/>
  <c r="F21" i="9"/>
  <c r="G20" i="9"/>
  <c r="F20" i="9"/>
  <c r="G19" i="9"/>
  <c r="F19" i="9"/>
  <c r="G18" i="9"/>
  <c r="F18" i="9"/>
  <c r="G17" i="9"/>
  <c r="F17" i="9"/>
  <c r="C22" i="9"/>
  <c r="B22" i="9"/>
  <c r="C21" i="9"/>
  <c r="B21" i="9"/>
  <c r="C20" i="9"/>
  <c r="B20" i="9"/>
  <c r="C19" i="9"/>
  <c r="B19" i="9"/>
  <c r="C18" i="9"/>
  <c r="B18" i="9"/>
  <c r="C17" i="9"/>
  <c r="B17" i="9"/>
  <c r="E4" i="9"/>
  <c r="E5" i="9"/>
  <c r="E6" i="9"/>
  <c r="E7" i="9"/>
  <c r="E8" i="9"/>
  <c r="E9" i="9"/>
  <c r="E10" i="9"/>
  <c r="E11" i="9"/>
  <c r="E12" i="9"/>
  <c r="E13" i="9"/>
  <c r="D39" i="9" l="1"/>
  <c r="C39" i="9"/>
  <c r="B39" i="9"/>
</calcChain>
</file>

<file path=xl/sharedStrings.xml><?xml version="1.0" encoding="utf-8"?>
<sst xmlns="http://schemas.openxmlformats.org/spreadsheetml/2006/main" count="2221" uniqueCount="1323">
  <si>
    <t>ID_USUARIO</t>
  </si>
  <si>
    <t>NOME_COMPLETO</t>
  </si>
  <si>
    <t>EMAIL</t>
  </si>
  <si>
    <t>MATRICULA</t>
  </si>
  <si>
    <t>FUNCAO</t>
  </si>
  <si>
    <t>PERFIL_ACESSO</t>
  </si>
  <si>
    <t>REGIAO</t>
  </si>
  <si>
    <t>POLO</t>
  </si>
  <si>
    <t>STATUS_USUARIO</t>
  </si>
  <si>
    <t>DATA_CADASTRO</t>
  </si>
  <si>
    <t>USR001</t>
  </si>
  <si>
    <t>João Silva Santos</t>
  </si>
  <si>
    <t>joao.silva@enel.com</t>
  </si>
  <si>
    <t>E12345</t>
  </si>
  <si>
    <t>Técnico de Distribuição</t>
  </si>
  <si>
    <t>Técnico de Campo</t>
  </si>
  <si>
    <t>Região Leste</t>
  </si>
  <si>
    <t>Polo Centro</t>
  </si>
  <si>
    <t>Ativo</t>
  </si>
  <si>
    <t>USR002</t>
  </si>
  <si>
    <t>Maria Oliveira Costa</t>
  </si>
  <si>
    <t>maria.oliveira@enel.com</t>
  </si>
  <si>
    <t>E12346</t>
  </si>
  <si>
    <t>Analista Técnico</t>
  </si>
  <si>
    <t>Técnico Enel/Gestor</t>
  </si>
  <si>
    <t>USR003</t>
  </si>
  <si>
    <t>Carlos Pereira Lima</t>
  </si>
  <si>
    <t>carlos.pereira@enel.com</t>
  </si>
  <si>
    <t>E12347</t>
  </si>
  <si>
    <t>Coordenador de Operações</t>
  </si>
  <si>
    <t>Administrador</t>
  </si>
  <si>
    <t>Todas</t>
  </si>
  <si>
    <t>Todos</t>
  </si>
  <si>
    <t>ID_ATIVIDADE</t>
  </si>
  <si>
    <t>DATA_CRIACAO</t>
  </si>
  <si>
    <t>HORA_CRIACAO</t>
  </si>
  <si>
    <t>DATA_ATIVIDADE</t>
  </si>
  <si>
    <t>HORA_INICIO</t>
  </si>
  <si>
    <t>HORA_TERMINO</t>
  </si>
  <si>
    <t>DURACAO_ATIVIDADE</t>
  </si>
  <si>
    <t>EMAIL_USUARIO</t>
  </si>
  <si>
    <t>ID_TECNICO</t>
  </si>
  <si>
    <t>NOME_TECNICO_ENEL</t>
  </si>
  <si>
    <t>MATRICULA_TECNICO</t>
  </si>
  <si>
    <t>TIPO_ATIVIDADE</t>
  </si>
  <si>
    <t>OUTRO_TIPO_ATIVIDADE</t>
  </si>
  <si>
    <t>ID_PARCEIRA</t>
  </si>
  <si>
    <t>NOME_PARCEIRA</t>
  </si>
  <si>
    <t>NUMERO_CONTRATO</t>
  </si>
  <si>
    <t>NUMERO_PROJETO</t>
  </si>
  <si>
    <t>NUMERO_OS</t>
  </si>
  <si>
    <t>CIRCUITO</t>
  </si>
  <si>
    <t>TIPO_INTERVENCAO</t>
  </si>
  <si>
    <t>LOCALIZACAO_GPS</t>
  </si>
  <si>
    <t>LATITUDE</t>
  </si>
  <si>
    <t>LONGITUDE</t>
  </si>
  <si>
    <t>ENDERECO</t>
  </si>
  <si>
    <t>MUNICIPIO</t>
  </si>
  <si>
    <t>DESCRICAO_ATIVIDADE</t>
  </si>
  <si>
    <t>SITUACAO_ENCONTRADA</t>
  </si>
  <si>
    <t>ACAO_REALIZADA</t>
  </si>
  <si>
    <t>RESULTADO_ATIVIDADE</t>
  </si>
  <si>
    <t>EXISTE_NAO_CONFORMIDADE</t>
  </si>
  <si>
    <t>DESCRICAO_NAO_CONFORMIDADE</t>
  </si>
  <si>
    <t>EXISTE_PENDENCIA</t>
  </si>
  <si>
    <t>DESCRICAO_PENDENCIA</t>
  </si>
  <si>
    <t>RESPONSAVEL_PENDENCIA</t>
  </si>
  <si>
    <t>PRAZO_PENDENCIA</t>
  </si>
  <si>
    <t>PRIORIDADE</t>
  </si>
  <si>
    <t>STATUS_ATIVIDADE</t>
  </si>
  <si>
    <t>QUANTIDADE_FOTOS</t>
  </si>
  <si>
    <t>LINK_MAPA</t>
  </si>
  <si>
    <t>DATA_ULTIMA_ALTERACAO</t>
  </si>
  <si>
    <t>USUARIO_ULTIMA_ALTERACAO</t>
  </si>
  <si>
    <t>STATUS_SINCRONIZACAO</t>
  </si>
  <si>
    <t>OBSERVACOES</t>
  </si>
  <si>
    <t>ATV-2026-0001</t>
  </si>
  <si>
    <t>Fiscalização de segurança em equipe de parceira</t>
  </si>
  <si>
    <t>PARC001</t>
  </si>
  <si>
    <t>Start Engenharia</t>
  </si>
  <si>
    <t>CT-2026-001</t>
  </si>
  <si>
    <t>PRJ-2026-0150</t>
  </si>
  <si>
    <t>OS-123456</t>
  </si>
  <si>
    <t>CIR-LESTE-001</t>
  </si>
  <si>
    <t>Manutenção Preventiva</t>
  </si>
  <si>
    <t>-23.5505,-46.6333</t>
  </si>
  <si>
    <t>Av. Paulista, 1000 - Bela Vista</t>
  </si>
  <si>
    <t>São Paulo</t>
  </si>
  <si>
    <t>Fiscalização de procedimentos de segurança durante manutenção em linha de média tensão</t>
  </si>
  <si>
    <t>Equipe utilizando EPIs corretamente. Sinalização adequada.</t>
  </si>
  <si>
    <t>Verificação completa dos procedimentos. Orientações sobre aterramento temporário.</t>
  </si>
  <si>
    <t>Conforme</t>
  </si>
  <si>
    <t>Não</t>
  </si>
  <si>
    <t>Normal</t>
  </si>
  <si>
    <t>Concluída</t>
  </si>
  <si>
    <t>https://maps.google.com/?q=-23.5505,-46.6333</t>
  </si>
  <si>
    <t>Sincronizado</t>
  </si>
  <si>
    <t>ATV-2026-0002</t>
  </si>
  <si>
    <t>Acompanhamento de projeto prioritário</t>
  </si>
  <si>
    <t>PARC002</t>
  </si>
  <si>
    <t>Essencial Energia</t>
  </si>
  <si>
    <t>CT-2026-002</t>
  </si>
  <si>
    <t>PRJ-2026-0175</t>
  </si>
  <si>
    <t>OS-123789</t>
  </si>
  <si>
    <t>CIR-LESTE-003</t>
  </si>
  <si>
    <t>Expansão de Rede</t>
  </si>
  <si>
    <t>-23.5629,-46.6544</t>
  </si>
  <si>
    <t>Rua Augusta, 500 - Consolação</t>
  </si>
  <si>
    <t>Acompanhamento de instalação de novo alimentador para atender demanda comercial</t>
  </si>
  <si>
    <t>Obra em andamento. 60% concluída. Materiais no local.</t>
  </si>
  <si>
    <t>Verificação do cronograma. Reunião com encarregado da parceira.</t>
  </si>
  <si>
    <t>Em andamento</t>
  </si>
  <si>
    <t>Sim</t>
  </si>
  <si>
    <t>Falta de sinalização noturna adequada em trecho da via</t>
  </si>
  <si>
    <t>Providenciar sinalização noturna conforme NR-18</t>
  </si>
  <si>
    <t>Alta</t>
  </si>
  <si>
    <t>Concluída com pendência</t>
  </si>
  <si>
    <t>https://maps.google.com/?q=-23.5629,-46.6544</t>
  </si>
  <si>
    <t>Retornar em 3 dias para verificar correção</t>
  </si>
  <si>
    <t>ID_TIPO</t>
  </si>
  <si>
    <t>NOME_TIPO_ATIVIDADE</t>
  </si>
  <si>
    <t>DESCRICAO</t>
  </si>
  <si>
    <t>EXIGE_FOTO</t>
  </si>
  <si>
    <t>EXIGE_LOCALIZACAO</t>
  </si>
  <si>
    <t>CATEGORIA</t>
  </si>
  <si>
    <t>STATUS_TIPO</t>
  </si>
  <si>
    <t>ORDEM_EXIBICAO</t>
  </si>
  <si>
    <t>TIPO001</t>
  </si>
  <si>
    <t>Acompanhamento de Momento Enel na parceira</t>
  </si>
  <si>
    <t>Verificação de atividades durante momento Enel</t>
  </si>
  <si>
    <t>Acompanhamento</t>
  </si>
  <si>
    <t>TIPO002</t>
  </si>
  <si>
    <t>Viabilidade de projeto</t>
  </si>
  <si>
    <t>Análise de viabilidade técnica de projeto</t>
  </si>
  <si>
    <t>Planejamento</t>
  </si>
  <si>
    <t>TIPO003</t>
  </si>
  <si>
    <t>Viabilidade para redução de clientes interrompidos</t>
  </si>
  <si>
    <t>Estudo para minimizar interrupções</t>
  </si>
  <si>
    <t>TIPO004</t>
  </si>
  <si>
    <t>Viabilidade de gerador de média tensão</t>
  </si>
  <si>
    <t>Avaliação de uso de gerador MT</t>
  </si>
  <si>
    <t>TIPO005</t>
  </si>
  <si>
    <t>Verificação de normas de segurança</t>
  </si>
  <si>
    <t>Fiscalização</t>
  </si>
  <si>
    <t>TIPO006</t>
  </si>
  <si>
    <t>Realização de mega blitz no pátio da parceira</t>
  </si>
  <si>
    <t>Inspeção intensiva em pátio</t>
  </si>
  <si>
    <t>TIPO007</t>
  </si>
  <si>
    <t>Acompanhamento de projeto com utilização de gerador de média tensão</t>
  </si>
  <si>
    <t>Monitoramento de projeto com gerador MT</t>
  </si>
  <si>
    <t>TIPO008</t>
  </si>
  <si>
    <t>Monitoramento de projeto de alta prioridade</t>
  </si>
  <si>
    <t>TIPO009</t>
  </si>
  <si>
    <t>Visita técnica</t>
  </si>
  <si>
    <t>Visita para avaliação técnica</t>
  </si>
  <si>
    <t>Visita</t>
  </si>
  <si>
    <t>TIPO010</t>
  </si>
  <si>
    <t>Inspeção de campo</t>
  </si>
  <si>
    <t>Inspeção geral em campo</t>
  </si>
  <si>
    <t>TIPO011</t>
  </si>
  <si>
    <t>Acompanhamento de execução de projeto</t>
  </si>
  <si>
    <t>Monitoramento da execução de obra</t>
  </si>
  <si>
    <t>TIPO012</t>
  </si>
  <si>
    <t>Reunião ou alinhamento em campo</t>
  </si>
  <si>
    <t>Reunião presencial em campo</t>
  </si>
  <si>
    <t>Reunião</t>
  </si>
  <si>
    <t>TIPO013</t>
  </si>
  <si>
    <t>Verificação de materiais</t>
  </si>
  <si>
    <t>Conferência de materiais em obra</t>
  </si>
  <si>
    <t>TIPO014</t>
  </si>
  <si>
    <t>Comissionamento</t>
  </si>
  <si>
    <t>Atividade de comissionamento de equipamentos</t>
  </si>
  <si>
    <t>Técnico</t>
  </si>
  <si>
    <t>TIPO015</t>
  </si>
  <si>
    <t>Acompanhamento de linha viva</t>
  </si>
  <si>
    <t>Monitoramento de trabalho em linha viva</t>
  </si>
  <si>
    <t>TIPO016</t>
  </si>
  <si>
    <t>Acompanhamento de desligamento programado</t>
  </si>
  <si>
    <t>Monitoramento de desligamento</t>
  </si>
  <si>
    <t>TIPO017</t>
  </si>
  <si>
    <t>Outras</t>
  </si>
  <si>
    <t>Outros tipos de atividade não listados</t>
  </si>
  <si>
    <t>Outros</t>
  </si>
  <si>
    <t>RESPONSAVEL</t>
  </si>
  <si>
    <t>TELEFONE</t>
  </si>
  <si>
    <t>REGIAO_ATENDIDA</t>
  </si>
  <si>
    <t>STATUS_PARCEIRA</t>
  </si>
  <si>
    <t>Roberto Mendes</t>
  </si>
  <si>
    <t>(11) 99999-0001</t>
  </si>
  <si>
    <t>contato@startengenharia.com.br</t>
  </si>
  <si>
    <t>Ativa</t>
  </si>
  <si>
    <t>Fernanda Alves</t>
  </si>
  <si>
    <t>(11) 99999-0002</t>
  </si>
  <si>
    <t>contato@essencialenergia.com.br</t>
  </si>
  <si>
    <t>PARC003</t>
  </si>
  <si>
    <t>PSC Energy</t>
  </si>
  <si>
    <t>CT-2026-003</t>
  </si>
  <si>
    <t>Marcos Paulo</t>
  </si>
  <si>
    <t>(11) 99999-0003</t>
  </si>
  <si>
    <t>contato@pscenergy.com.br</t>
  </si>
  <si>
    <t>Região Norte</t>
  </si>
  <si>
    <t>PARC004</t>
  </si>
  <si>
    <t>Conecta Empreendimentos</t>
  </si>
  <si>
    <t>CT-2026-004</t>
  </si>
  <si>
    <t>Juliana Souza</t>
  </si>
  <si>
    <t>(11) 99999-0004</t>
  </si>
  <si>
    <t>contato@conecta.com.br</t>
  </si>
  <si>
    <t>Região Sul</t>
  </si>
  <si>
    <t>PARC005</t>
  </si>
  <si>
    <t>Engelmig</t>
  </si>
  <si>
    <t>CT-2026-005</t>
  </si>
  <si>
    <t>André Costa</t>
  </si>
  <si>
    <t>(11) 99999-0005</t>
  </si>
  <si>
    <t>contato@engelmig.com.br</t>
  </si>
  <si>
    <t>Região Oeste</t>
  </si>
  <si>
    <t>PARC006</t>
  </si>
  <si>
    <t>ID_FOTO</t>
  </si>
  <si>
    <t>FOTO</t>
  </si>
  <si>
    <t>LEGENDA_FOTO</t>
  </si>
  <si>
    <t>TIPO_EVIDENCIA</t>
  </si>
  <si>
    <t>DATA_FOTO</t>
  </si>
  <si>
    <t>HORA_FOTO</t>
  </si>
  <si>
    <t>LOCALIZACAO_FOTO</t>
  </si>
  <si>
    <t>USUARIO_RESPONSAVEL</t>
  </si>
  <si>
    <t>LINK_ARQUIVO</t>
  </si>
  <si>
    <t>FOTO-0001</t>
  </si>
  <si>
    <t>[Imagem]</t>
  </si>
  <si>
    <t>Equipe com EPIs antes do início</t>
  </si>
  <si>
    <t>Antes da atividade</t>
  </si>
  <si>
    <t>https://drive.google.com/file/d/xxx1</t>
  </si>
  <si>
    <t>FOTO-0002</t>
  </si>
  <si>
    <t>Verificação de aterramento</t>
  </si>
  <si>
    <t>Durante a atividade</t>
  </si>
  <si>
    <t>https://drive.google.com/file/d/xxx2</t>
  </si>
  <si>
    <t>FOTO-0003</t>
  </si>
  <si>
    <t>Sinalização do local</t>
  </si>
  <si>
    <t>https://drive.google.com/file/d/xxx3</t>
  </si>
  <si>
    <t>FOTO-0004</t>
  </si>
  <si>
    <t>Vista geral da obra</t>
  </si>
  <si>
    <t>https://drive.google.com/file/d/xxx4</t>
  </si>
  <si>
    <t>FOTO-0005</t>
  </si>
  <si>
    <t>Materiais no local</t>
  </si>
  <si>
    <t>https://drive.google.com/file/d/xxx5</t>
  </si>
  <si>
    <t>FOTO-0006</t>
  </si>
  <si>
    <t>Falta de sinalização noturna</t>
  </si>
  <si>
    <t>Não conformidade</t>
  </si>
  <si>
    <t>https://drive.google.com/file/d/xxx6</t>
  </si>
  <si>
    <t>FOTO-0007</t>
  </si>
  <si>
    <t>Equipe parceira trabalhando</t>
  </si>
  <si>
    <t>Equipe</t>
  </si>
  <si>
    <t>https://drive.google.com/file/d/xxx7</t>
  </si>
  <si>
    <t>FOTO-0008</t>
  </si>
  <si>
    <t>Situação final da visita</t>
  </si>
  <si>
    <t>Depois da atividade</t>
  </si>
  <si>
    <t>https://drive.google.com/file/d/xxx8</t>
  </si>
  <si>
    <t>ID_ACAO</t>
  </si>
  <si>
    <t>TIPO_ACAO</t>
  </si>
  <si>
    <t>DESCRICAO_ACAO</t>
  </si>
  <si>
    <t>EMPRESA_RESPONSAVEL</t>
  </si>
  <si>
    <t>DATA_ABERTURA</t>
  </si>
  <si>
    <t>PRAZO</t>
  </si>
  <si>
    <t>STATUS_ACAO</t>
  </si>
  <si>
    <t>DATA_CONCLUSAO</t>
  </si>
  <si>
    <t>COMPROVACAO_CONCLUSAO</t>
  </si>
  <si>
    <t>ACAO-0001</t>
  </si>
  <si>
    <t>Pendência</t>
  </si>
  <si>
    <t>Aberta</t>
  </si>
  <si>
    <t>Sinalização deve incluir cones refletivos e fita zebrada</t>
  </si>
  <si>
    <t>ACAO-0002</t>
  </si>
  <si>
    <t>Ação Corretiva</t>
  </si>
  <si>
    <t>Reforçar treinamento de segurança da equipe</t>
  </si>
  <si>
    <t>Média</t>
  </si>
  <si>
    <t>Solicitar lista de presença do treinamento</t>
  </si>
  <si>
    <t>REGIÕES</t>
  </si>
  <si>
    <t>ID_REGIAO</t>
  </si>
  <si>
    <t>NOME_REGIAO</t>
  </si>
  <si>
    <t>REG001</t>
  </si>
  <si>
    <t>REG002</t>
  </si>
  <si>
    <t>REG003</t>
  </si>
  <si>
    <t>REG004</t>
  </si>
  <si>
    <t>REG005</t>
  </si>
  <si>
    <t>Região Central</t>
  </si>
  <si>
    <t>POLOS</t>
  </si>
  <si>
    <t>ID_POLO</t>
  </si>
  <si>
    <t>NOME_POLO</t>
  </si>
  <si>
    <t>POLO001</t>
  </si>
  <si>
    <t>POLO002</t>
  </si>
  <si>
    <t>Polo Norte</t>
  </si>
  <si>
    <t>POLO003</t>
  </si>
  <si>
    <t>Polo Sul</t>
  </si>
  <si>
    <t>POLO004</t>
  </si>
  <si>
    <t>Polo Leste</t>
  </si>
  <si>
    <t>POLO005</t>
  </si>
  <si>
    <t>Polo Oeste</t>
  </si>
  <si>
    <t>TIPOS DE INTERVENÇÃO</t>
  </si>
  <si>
    <t>ID_INTERVENCAO</t>
  </si>
  <si>
    <t>NOME_INTERVENCAO</t>
  </si>
  <si>
    <t>INT001</t>
  </si>
  <si>
    <t>INT002</t>
  </si>
  <si>
    <t>Manutenção Corretiva</t>
  </si>
  <si>
    <t>INT003</t>
  </si>
  <si>
    <t>INT004</t>
  </si>
  <si>
    <t>Substituição de Equipamento</t>
  </si>
  <si>
    <t>INT005</t>
  </si>
  <si>
    <t>Poda de Árvore</t>
  </si>
  <si>
    <t>INT006</t>
  </si>
  <si>
    <t>Instalação de Medidor</t>
  </si>
  <si>
    <t>INT007</t>
  </si>
  <si>
    <t>Religação</t>
  </si>
  <si>
    <t>INT008</t>
  </si>
  <si>
    <t>Corte</t>
  </si>
  <si>
    <t>INT009</t>
  </si>
  <si>
    <t>Emergência</t>
  </si>
  <si>
    <t>INT010</t>
  </si>
  <si>
    <t>PRIORIDADES</t>
  </si>
  <si>
    <t>ID_PRIORIDADE</t>
  </si>
  <si>
    <t>NOME_PRIORIDADE</t>
  </si>
  <si>
    <t>COR</t>
  </si>
  <si>
    <t>PRI001</t>
  </si>
  <si>
    <t>Crítica</t>
  </si>
  <si>
    <t>#C00000</t>
  </si>
  <si>
    <t>PRI002</t>
  </si>
  <si>
    <t>#FF6600</t>
  </si>
  <si>
    <t>PRI003</t>
  </si>
  <si>
    <t>#FFCC00</t>
  </si>
  <si>
    <t>PRI004</t>
  </si>
  <si>
    <t>#00B050</t>
  </si>
  <si>
    <t>PRI005</t>
  </si>
  <si>
    <t>Baixa</t>
  </si>
  <si>
    <t>#808080</t>
  </si>
  <si>
    <t>STATUS DAS ATIVIDADES</t>
  </si>
  <si>
    <t>ID_STATUS</t>
  </si>
  <si>
    <t>NOME_STATUS</t>
  </si>
  <si>
    <t>STA001</t>
  </si>
  <si>
    <t>Rascunho</t>
  </si>
  <si>
    <t>STA002</t>
  </si>
  <si>
    <t>STA003</t>
  </si>
  <si>
    <t>STA004</t>
  </si>
  <si>
    <t>#FF9900</t>
  </si>
  <si>
    <t>STA005</t>
  </si>
  <si>
    <t>Parcial</t>
  </si>
  <si>
    <t>STA006</t>
  </si>
  <si>
    <t>Cancelada</t>
  </si>
  <si>
    <t>STA007</t>
  </si>
  <si>
    <t>Aguardando retorno</t>
  </si>
  <si>
    <t>STA008</t>
  </si>
  <si>
    <t>Reprogramada</t>
  </si>
  <si>
    <t>#0070C0</t>
  </si>
  <si>
    <t>TIPOS DE EVIDÊNCIA</t>
  </si>
  <si>
    <t>ID_EVIDENCIA</t>
  </si>
  <si>
    <t>NOME_EVIDENCIA</t>
  </si>
  <si>
    <t>EVI001</t>
  </si>
  <si>
    <t>EVI002</t>
  </si>
  <si>
    <t>EVI003</t>
  </si>
  <si>
    <t>EVI004</t>
  </si>
  <si>
    <t>EVI005</t>
  </si>
  <si>
    <t>Segurança</t>
  </si>
  <si>
    <t>EVI006</t>
  </si>
  <si>
    <t>Equipamento</t>
  </si>
  <si>
    <t>EVI007</t>
  </si>
  <si>
    <t>Material</t>
  </si>
  <si>
    <t>EVI008</t>
  </si>
  <si>
    <t>EVI009</t>
  </si>
  <si>
    <t>Documento</t>
  </si>
  <si>
    <t>EVI010</t>
  </si>
  <si>
    <t>STATUS DAS AÇÕES</t>
  </si>
  <si>
    <t>ID_STATUS_ACAO</t>
  </si>
  <si>
    <t>NOME_STATUS_ACAO</t>
  </si>
  <si>
    <t>SAC001</t>
  </si>
  <si>
    <t>SAC002</t>
  </si>
  <si>
    <t>SAC003</t>
  </si>
  <si>
    <t>Aguardando parceira</t>
  </si>
  <si>
    <t>SAC004</t>
  </si>
  <si>
    <t>Aguardando Enel</t>
  </si>
  <si>
    <t>SAC005</t>
  </si>
  <si>
    <t>SAC006</t>
  </si>
  <si>
    <t>CONFIGURAÇÕES GERAIS</t>
  </si>
  <si>
    <t>PARAMETRO</t>
  </si>
  <si>
    <t>VALOR</t>
  </si>
  <si>
    <t>PRAZO_EDICAO_DIAS</t>
  </si>
  <si>
    <t>EMAIL_RELATORIO_QUINZENAL</t>
  </si>
  <si>
    <t>gestores@enel.com</t>
  </si>
  <si>
    <t>EMAIL_RELATORIO_MENSAL</t>
  </si>
  <si>
    <t>gestores@enel.com;diretoria@enel.com</t>
  </si>
  <si>
    <t>HORARIO_AUTOMACAO</t>
  </si>
  <si>
    <t>PASTA_DRIVE_FOTOS</t>
  </si>
  <si>
    <t>Atividades de Campo</t>
  </si>
  <si>
    <t>RETENCAO_FOTOS_MESES</t>
  </si>
  <si>
    <t>RETENCAO_REGISTROS_MESES</t>
  </si>
  <si>
    <t>DIA_RELATORIO_QUINZENAL_1</t>
  </si>
  <si>
    <t>DIA_RELATORIO_QUINZENAL_2</t>
  </si>
  <si>
    <t>ID_LOG</t>
  </si>
  <si>
    <t>DATA_HORA</t>
  </si>
  <si>
    <t>TIPO_OPERACAO</t>
  </si>
  <si>
    <t>CAMPO_ALTERADO</t>
  </si>
  <si>
    <t>VALOR_ANTERIOR</t>
  </si>
  <si>
    <t>VALOR_NOVO</t>
  </si>
  <si>
    <t>LOG-0001</t>
  </si>
  <si>
    <t>CRIACAO</t>
  </si>
  <si>
    <t>-</t>
  </si>
  <si>
    <t>Registro criado</t>
  </si>
  <si>
    <t>LOG-0002</t>
  </si>
  <si>
    <t>ALTERACAO</t>
  </si>
  <si>
    <t>LOG-0003</t>
  </si>
  <si>
    <t>LOG-0004</t>
  </si>
  <si>
    <t>LOG-0005</t>
  </si>
  <si>
    <t>ADICAO_FOTO</t>
  </si>
  <si>
    <t>DASHBOARD GERENCIAL - REGISTRO DE ATIVIDADES DE CAMPO ENEL</t>
  </si>
  <si>
    <t>FILTROS</t>
  </si>
  <si>
    <t>Período Inicial:</t>
  </si>
  <si>
    <t>Período Final:</t>
  </si>
  <si>
    <t>Região:</t>
  </si>
  <si>
    <t>Técnico:</t>
  </si>
  <si>
    <t>Parceira:</t>
  </si>
  <si>
    <t>INDICADORES PRINCIPAIS</t>
  </si>
  <si>
    <t>Total de Atividades</t>
  </si>
  <si>
    <t>Atividades Concluídas</t>
  </si>
  <si>
    <t>Atividades com Pendência</t>
  </si>
  <si>
    <t>Pendências Vencidas</t>
  </si>
  <si>
    <t>Não Conformidades</t>
  </si>
  <si>
    <t>Técnicos Ativos</t>
  </si>
  <si>
    <t>Parceiras Acompanhadas</t>
  </si>
  <si>
    <t>Projetos Acompanhados</t>
  </si>
  <si>
    <t>Atividades com Fotos</t>
  </si>
  <si>
    <t>Municípios Visitados</t>
  </si>
  <si>
    <t>ATIVIDADES POR STATUS</t>
  </si>
  <si>
    <t>Status</t>
  </si>
  <si>
    <t>Quantidade</t>
  </si>
  <si>
    <t>Percentual</t>
  </si>
  <si>
    <t>ATIVIDADES POR PARCEIRA</t>
  </si>
  <si>
    <t>Parceira</t>
  </si>
  <si>
    <t>ATIVIDADES POR TIPO (TOP 10)</t>
  </si>
  <si>
    <t>Tipo de Atividade</t>
  </si>
  <si>
    <t>PENDÊNCIAS POR STATUS</t>
  </si>
  <si>
    <t>RESUMO POR QUINZENA</t>
  </si>
  <si>
    <t>Período</t>
  </si>
  <si>
    <t>Atividades</t>
  </si>
  <si>
    <t>Concluídas</t>
  </si>
  <si>
    <t>Pendências</t>
  </si>
  <si>
    <t>1ª Quinzena (01-15)</t>
  </si>
  <si>
    <t>2ª Quinzena (16-fim)</t>
  </si>
  <si>
    <t>TOTAL MÊS</t>
  </si>
  <si>
    <t>DICIONÁRIO DE DADOS - SISTEMA DE REGISTRO DE ATIVIDADES DE CAMPO ENEL</t>
  </si>
  <si>
    <t>TABELA</t>
  </si>
  <si>
    <t>CAMPO</t>
  </si>
  <si>
    <t>TIPO_DADO</t>
  </si>
  <si>
    <t>TAMANHO</t>
  </si>
  <si>
    <t>OBRIGATORIO</t>
  </si>
  <si>
    <t>CHAVE</t>
  </si>
  <si>
    <t>USUARIOS</t>
  </si>
  <si>
    <t>Texto</t>
  </si>
  <si>
    <t>PK</t>
  </si>
  <si>
    <t>Identificador único do usuário (ex: USR001)</t>
  </si>
  <si>
    <t>Nome completo do usuário</t>
  </si>
  <si>
    <t>Email</t>
  </si>
  <si>
    <t>UK</t>
  </si>
  <si>
    <t>E-mail corporativo (usado para login)</t>
  </si>
  <si>
    <t>Matrícula funcional</t>
  </si>
  <si>
    <t>Função/cargo do usuário</t>
  </si>
  <si>
    <t>Enum</t>
  </si>
  <si>
    <t>Técnico de Campo | Técnico Enel/Gestor | Administrador</t>
  </si>
  <si>
    <t>FK</t>
  </si>
  <si>
    <t>Região de atuação (ref: CONFIGURACOES)</t>
  </si>
  <si>
    <t>Polo de atuação (ref: CONFIGURACOES)</t>
  </si>
  <si>
    <t>Ativo | Inativo | Bloqueado</t>
  </si>
  <si>
    <t>Data</t>
  </si>
  <si>
    <t>Data de cadastro do usuário</t>
  </si>
  <si>
    <t>REGISTROS_ATIVIDADES</t>
  </si>
  <si>
    <t>ID único automático (ex: ATV-2026-0001)</t>
  </si>
  <si>
    <t>Data de criação automática (não editável)</t>
  </si>
  <si>
    <t>Hora</t>
  </si>
  <si>
    <t>Hora de criação automática (não editável)</t>
  </si>
  <si>
    <t>Data em que a atividade foi realizada</t>
  </si>
  <si>
    <t>Horário de início da atividade</t>
  </si>
  <si>
    <t>Horário de término da atividade</t>
  </si>
  <si>
    <t>Auto</t>
  </si>
  <si>
    <t>Calculado: HORA_TERMINO - HORA_INICIO</t>
  </si>
  <si>
    <t>E-mail do usuário logado (USEREMAIL)</t>
  </si>
  <si>
    <t>Referência para USUARIOS</t>
  </si>
  <si>
    <t>Preenchido via lookup do ID_TECNICO</t>
  </si>
  <si>
    <t>Região da atividade</t>
  </si>
  <si>
    <t>Polo da atividade</t>
  </si>
  <si>
    <t>Referência para TIPOS_ATIVIDADE</t>
  </si>
  <si>
    <t>Cond</t>
  </si>
  <si>
    <t>Obrigatório se TIPO_ATIVIDADE = Outras</t>
  </si>
  <si>
    <t>Referência para PARCEIRAS</t>
  </si>
  <si>
    <t>Preenchido via lookup do ID_PARCEIRA</t>
  </si>
  <si>
    <t>Número do contrato da parceira</t>
  </si>
  <si>
    <t>Número do projeto acompanhado</t>
  </si>
  <si>
    <t>Número da Ordem de Serviço</t>
  </si>
  <si>
    <t>Identificação do circuito</t>
  </si>
  <si>
    <t>Tipo de intervenção (ref: CONFIGURACOES)</t>
  </si>
  <si>
    <t>LatLong</t>
  </si>
  <si>
    <t>Coordenadas capturadas pelo GPS</t>
  </si>
  <si>
    <t>Decimal</t>
  </si>
  <si>
    <t>10,7</t>
  </si>
  <si>
    <t>Extraído de LOCALIZACAO_GPS</t>
  </si>
  <si>
    <t>Endereço (pode ser geocodificado)</t>
  </si>
  <si>
    <t>Município da atividade</t>
  </si>
  <si>
    <t>LongText</t>
  </si>
  <si>
    <t>Descrição detalhada da atividade</t>
  </si>
  <si>
    <t>Situação encontrada no local</t>
  </si>
  <si>
    <t>Ações executadas pelo técnico</t>
  </si>
  <si>
    <t>Conforme | Em andamento | Não conforme | Parcial</t>
  </si>
  <si>
    <t>Sim | Não</t>
  </si>
  <si>
    <t>Obrigatório se EXISTE_NAO_CONFORMIDADE = Sim</t>
  </si>
  <si>
    <t>Obrigatório se EXISTE_PENDENCIA = Sim</t>
  </si>
  <si>
    <t>Crítica | Alta | Média | Normal | Baixa</t>
  </si>
  <si>
    <t>Conforme lista em CONFIGURACOES</t>
  </si>
  <si>
    <t>Número</t>
  </si>
  <si>
    <t>COUNT de FOTOS_ATIVIDADES por ID</t>
  </si>
  <si>
    <t>URL</t>
  </si>
  <si>
    <t>Link Google Maps gerado automaticamente</t>
  </si>
  <si>
    <t>DataHora</t>
  </si>
  <si>
    <t>Timestamp da última alteração</t>
  </si>
  <si>
    <t>E-mail de quem alterou por último</t>
  </si>
  <si>
    <t>Pendente | Sincronizado | Erro</t>
  </si>
  <si>
    <t>Observações adicionais</t>
  </si>
  <si>
    <t>FOTOS_ATIVIDADES</t>
  </si>
  <si>
    <t>ID único da foto (ex: FOTO-0001)</t>
  </si>
  <si>
    <t>Referência para REGISTROS_ATIVIDADES</t>
  </si>
  <si>
    <t>Imagem</t>
  </si>
  <si>
    <t>Arquivo de imagem capturado</t>
  </si>
  <si>
    <t>Obrigatório para tipo Não conformidade</t>
  </si>
  <si>
    <t>Data de captura automática</t>
  </si>
  <si>
    <t>Hora de captura automática</t>
  </si>
  <si>
    <t>Coordenadas GPS da foto</t>
  </si>
  <si>
    <t>E-mail do usuário que capturou</t>
  </si>
  <si>
    <t>Link do arquivo no Google Drive</t>
  </si>
  <si>
    <t>ACOES_PENDENCIAS</t>
  </si>
  <si>
    <t>ID único da ação (ex: ACAO-0001)</t>
  </si>
  <si>
    <t>Pendência | Ação Corretiva | Melhoria | Observação</t>
  </si>
  <si>
    <t>Descrição detalhada da ação</t>
  </si>
  <si>
    <t>Nome do responsável pela ação</t>
  </si>
  <si>
    <t>Empresa responsável (Enel ou parceira)</t>
  </si>
  <si>
    <t>Data de abertura automática</t>
  </si>
  <si>
    <t>Data limite para conclusão</t>
  </si>
  <si>
    <t>Data efetiva de conclusão</t>
  </si>
  <si>
    <t>Evidência de conclusão</t>
  </si>
  <si>
    <t>LOG_ALTERACOES</t>
  </si>
  <si>
    <t>ID único do log (ex: LOG-0001)</t>
  </si>
  <si>
    <t>Timestamp da operação</t>
  </si>
  <si>
    <t>E-mail do usuário que realizou a operação</t>
  </si>
  <si>
    <t>CRIACAO | ALTERACAO | EXCLUSAO | ADICAO_FOTO</t>
  </si>
  <si>
    <t>Nome do campo alterado</t>
  </si>
  <si>
    <t>Valor antes da alteração</t>
  </si>
  <si>
    <t>Valor após a alteração</t>
  </si>
  <si>
    <t>EXPRESSÕES APPSHEET - PRONTAS PARA IMPLEMENTAÇÃO</t>
  </si>
  <si>
    <t>CAMPO/USO</t>
  </si>
  <si>
    <t>EXPRESSÃO APPSHEET</t>
  </si>
  <si>
    <t>DESCRIÇÃO</t>
  </si>
  <si>
    <t>ID AUTOMÁTICO</t>
  </si>
  <si>
    <t>ID_ATIVIDADE (Initial Value)</t>
  </si>
  <si>
    <t>CONCATENATE("ATV-", YEAR(TODAY()), "-", TEXT(MAX(REGISTROS_ATIVIDADES[ID_ATIVIDADE])+1, "0000"))</t>
  </si>
  <si>
    <t>Gera ID único no formato ATV-2026-0001</t>
  </si>
  <si>
    <t>ID_ATIVIDADE (Alternativa)</t>
  </si>
  <si>
    <t>UNIQUEID()</t>
  </si>
  <si>
    <t>ID único gerado pelo AppSheet (mais simples)</t>
  </si>
  <si>
    <t>ID_FOTO (Initial Value)</t>
  </si>
  <si>
    <t>CONCATENATE("FOTO-", TEXT(MAX(FOTOS_ATIVIDADES[ID_FOTO])+1, "0000"))</t>
  </si>
  <si>
    <t>Gera ID único para fotos</t>
  </si>
  <si>
    <t>ID_ACAO (Initial Value)</t>
  </si>
  <si>
    <t>CONCATENATE("ACAO-", TEXT(MAX(ACOES_PENDENCIAS[ID_ACAO])+1, "0000"))</t>
  </si>
  <si>
    <t>Gera ID único para ações</t>
  </si>
  <si>
    <t>DATA/HORA AUTO</t>
  </si>
  <si>
    <t>DATA_CRIACAO (Initial Value)</t>
  </si>
  <si>
    <t>TODAY()</t>
  </si>
  <si>
    <t>Data atual automática (não editável)</t>
  </si>
  <si>
    <t>HORA_CRIACAO (Initial Value)</t>
  </si>
  <si>
    <t>TIMENOW()</t>
  </si>
  <si>
    <t>Hora atual automática (não editável)</t>
  </si>
  <si>
    <t>DATA_ULTIMA_ALTERACAO (Reset On Edit)</t>
  </si>
  <si>
    <t>NOW()</t>
  </si>
  <si>
    <t>Atualiza timestamp a cada edição</t>
  </si>
  <si>
    <t>DATA_FOTO (Initial Value)</t>
  </si>
  <si>
    <t>Data de captura da foto</t>
  </si>
  <si>
    <t>HORA_FOTO (Initial Value)</t>
  </si>
  <si>
    <t>Hora de captura da foto</t>
  </si>
  <si>
    <t>USUÁRIO</t>
  </si>
  <si>
    <t>EMAIL_USUARIO (Initial Value)</t>
  </si>
  <si>
    <t>USEREMAIL()</t>
  </si>
  <si>
    <t>Captura e-mail do usuário logado</t>
  </si>
  <si>
    <t>ID_TECNICO (App Formula)</t>
  </si>
  <si>
    <t>LOOKUP(USEREMAIL(), "USUARIOS", "EMAIL", "ID_USUARIO")</t>
  </si>
  <si>
    <t>Busca ID do técnico pelo e-mail</t>
  </si>
  <si>
    <t>NOME_TECNICO_ENEL (App Formula)</t>
  </si>
  <si>
    <t>LOOKUP([ID_TECNICO], "USUARIOS", "ID_USUARIO", "NOME_COMPLETO")</t>
  </si>
  <si>
    <t>Busca nome pelo ID do técnico</t>
  </si>
  <si>
    <t>MATRICULA_TECNICO (App Formula)</t>
  </si>
  <si>
    <t>LOOKUP([ID_TECNICO], "USUARIOS", "ID_USUARIO", "MATRICULA")</t>
  </si>
  <si>
    <t>Busca matrícula pelo ID do técnico</t>
  </si>
  <si>
    <t>USUARIO_ULTIMA_ALTERACAO (Reset On Edit)</t>
  </si>
  <si>
    <t>PERFIL_USUARIO (Virtual Column)</t>
  </si>
  <si>
    <t>LOOKUP(USEREMAIL(), "USUARIOS", "EMAIL", "PERFIL_ACESSO")</t>
  </si>
  <si>
    <t>Perfil do usuário atual</t>
  </si>
  <si>
    <t>LOCALIZAÇÃO</t>
  </si>
  <si>
    <t>LOCALIZACAO_GPS (Type)</t>
  </si>
  <si>
    <t>LatLong (Tipo de coluna)</t>
  </si>
  <si>
    <t>Definir tipo como LatLong no AppSheet</t>
  </si>
  <si>
    <t>LATITUDE (App Formula)</t>
  </si>
  <si>
    <t>INDEX(SPLIT([LOCALIZACAO_GPS], ","), 1)</t>
  </si>
  <si>
    <t>Extrai latitude das coordenadas</t>
  </si>
  <si>
    <t>LONGITUDE (App Formula)</t>
  </si>
  <si>
    <t>INDEX(SPLIT([LOCALIZACAO_GPS], ","), 2)</t>
  </si>
  <si>
    <t>Extrai longitude das coordenadas</t>
  </si>
  <si>
    <t>LINK_MAPA (App Formula)</t>
  </si>
  <si>
    <t>CONCATENATE("https://maps.google.com/?q=", [LATITUDE], ",", [LONGITUDE])</t>
  </si>
  <si>
    <t>Gera link do Google Maps</t>
  </si>
  <si>
    <t>LINK_MAPA (Alternativa)</t>
  </si>
  <si>
    <t>HYPERLINK(CONCATENATE("https://maps.google.com/?q=", [LOCALIZACAO_GPS]), "Ver no Mapa")</t>
  </si>
  <si>
    <t>Link clicável para mapa</t>
  </si>
  <si>
    <t>CÁLCULOS</t>
  </si>
  <si>
    <t>DURACAO_ATIVIDADE (App Formula)</t>
  </si>
  <si>
    <t>[HORA_TERMINO] - [HORA_INICIO]</t>
  </si>
  <si>
    <t>Calcula duração da atividade</t>
  </si>
  <si>
    <t>DURACAO_FORMATADA (Virtual)</t>
  </si>
  <si>
    <t>CONCATENATE(HOUR([DURACAO_ATIVIDADE]), "h ", MINUTE([DURACAO_ATIVIDADE]), "min")</t>
  </si>
  <si>
    <t>Formata duração legível</t>
  </si>
  <si>
    <t>QUANTIDADE_FOTOS (App Formula)</t>
  </si>
  <si>
    <t>COUNT(SELECT(FOTOS_ATIVIDADES[ID_FOTO], [ID_ATIVIDADE] = [_THISROW].[ID_ATIVIDADE]))</t>
  </si>
  <si>
    <t>Conta fotos vinculadas</t>
  </si>
  <si>
    <t>DIAS_PARA_VENCER (Virtual)</t>
  </si>
  <si>
    <t>[PRAZO] - TODAY()</t>
  </si>
  <si>
    <t>Dias até vencer pendência</t>
  </si>
  <si>
    <t>PENDENCIA_VENCIDA (Virtual)</t>
  </si>
  <si>
    <t>IF(AND([STATUS_ACAO] &lt;&gt; "Concluída", [PRAZO] &lt; TODAY()), TRUE, FALSE)</t>
  </si>
  <si>
    <t>Identifica pendência vencida</t>
  </si>
  <si>
    <t>QUINZENAS</t>
  </si>
  <si>
    <t>QUINZENA (Virtual Column)</t>
  </si>
  <si>
    <t>IF(DAY([DATA_ATIVIDADE]) &lt;= 15, "1ª Quinzena", "2ª Quinzena")</t>
  </si>
  <si>
    <t>Identifica quinzena da atividade</t>
  </si>
  <si>
    <t>MES_ANO (Virtual Column)</t>
  </si>
  <si>
    <t>CONCATENATE(MONTH([DATA_ATIVIDADE]), "/", YEAR([DATA_ATIVIDADE]))</t>
  </si>
  <si>
    <t>Mês e ano da atividade</t>
  </si>
  <si>
    <t>PERIODO_RELATORIO (Virtual)</t>
  </si>
  <si>
    <t>CONCATENATE([QUINZENA], " - ", TEXT([DATA_ATIVIDADE], "MMMM/YYYY"))</t>
  </si>
  <si>
    <t>Período completo para relatório</t>
  </si>
  <si>
    <t>CAMPOS CONDICIONAIS</t>
  </si>
  <si>
    <t>Show_If OUTRO_TIPO_ATIVIDADE</t>
  </si>
  <si>
    <t>[TIPO_ATIVIDADE] = "Outras"</t>
  </si>
  <si>
    <t>Exibe campo apenas se Tipo = Outras</t>
  </si>
  <si>
    <t>Show_If DESC_NAO_CONFORMIDADE</t>
  </si>
  <si>
    <t>[EXISTE_NAO_CONFORMIDADE] = "Sim"</t>
  </si>
  <si>
    <t>Exibe descrição se existe NC</t>
  </si>
  <si>
    <t>Show_If CAMPOS_PENDENCIA</t>
  </si>
  <si>
    <t>[EXISTE_PENDENCIA] = "Sim"</t>
  </si>
  <si>
    <t>Exibe campos de pendência</t>
  </si>
  <si>
    <t>Show_If JUSTIFICATIVA_CANCEL</t>
  </si>
  <si>
    <t>OR([STATUS_ATIVIDADE] = "Cancelada", [STATUS_ATIVIDADE] = "Parcial")</t>
  </si>
  <si>
    <t>Exige justificativa</t>
  </si>
  <si>
    <t>VALIDAÇÕES</t>
  </si>
  <si>
    <t>Valid_If HORA_TERMINO</t>
  </si>
  <si>
    <t>[HORA_TERMINO] &gt; [HORA_INICIO]</t>
  </si>
  <si>
    <t>Término deve ser após início</t>
  </si>
  <si>
    <t>Valid_If PRAZO_PENDENCIA</t>
  </si>
  <si>
    <t>[PRAZO_PENDENCIA] &gt;= TODAY()</t>
  </si>
  <si>
    <t>Prazo não pode ser passado</t>
  </si>
  <si>
    <t>Valid_If LEGENDA_NC</t>
  </si>
  <si>
    <t>IF([TIPO_EVIDENCIA] = "Não conformidade", ISNOTBLANK([LEGENDA_FOTO]), TRUE)</t>
  </si>
  <si>
    <t>Legenda obrigatória para NC</t>
  </si>
  <si>
    <t>Valid_If FOTO_OBRIGATORIA</t>
  </si>
  <si>
    <t>IF(OR([TIPO_ATIVIDADE] = "Fiscalização de segurança em equipe de parceira", [TIPO_ATIVIDADE] = "Realização de mega blitz no pátio da parceira"), [QUANTIDADE_FOTOS] &gt; 0, TRUE)</t>
  </si>
  <si>
    <t>Foto obrigatória para fiscalização</t>
  </si>
  <si>
    <t>Valid_If RESPONSAVEL_PEND</t>
  </si>
  <si>
    <t>IF([EXISTE_PENDENCIA] = "Sim", ISNOTBLANK([RESPONSAVEL_PENDENCIA]), TRUE)</t>
  </si>
  <si>
    <t>Responsável obrigatório se há pendência</t>
  </si>
  <si>
    <t>CONTROLE EDIÇÃO</t>
  </si>
  <si>
    <t>Editable_If (Período)</t>
  </si>
  <si>
    <t>OR(USEREMAIL() = [EMAIL_USUARIO], LOOKUP(USEREMAIL(), "USUARIOS", "EMAIL", "PERFIL_ACESSO") = "Administrador")</t>
  </si>
  <si>
    <t>Só autor ou admin pode editar</t>
  </si>
  <si>
    <t>Editable_If (Prazo)</t>
  </si>
  <si>
    <t>AND([DATA_CRIACAO] &gt;= TODAY() - 3, [STATUS_ATIVIDADE] &lt;&gt; "Concluída")</t>
  </si>
  <si>
    <t>Edita até 3 dias após criação</t>
  </si>
  <si>
    <t>Editable_If (Combinado)</t>
  </si>
  <si>
    <t>AND(OR(USEREMAIL() = [EMAIL_USUARIO], LOOKUP(USEREMAIL(), "USUARIOS", "EMAIL", "PERFIL_ACESSO") = "Administrador"), [DATA_CRIACAO] &gt;= TODAY() - 3)</t>
  </si>
  <si>
    <t>Combina autor + prazo</t>
  </si>
  <si>
    <t>SEGURANÇA</t>
  </si>
  <si>
    <t>Security Filter REGISTROS</t>
  </si>
  <si>
    <t>OR(LOOKUP(USEREMAIL(), "USUARIOS", "EMAIL", "PERFIL_ACESSO") = "Administrador", LOOKUP(USEREMAIL(), "USUARIOS", "EMAIL", "PERFIL_ACESSO") = "Técnico Enel/Gestor", [EMAIL_USUARIO] = USEREMAIL())</t>
  </si>
  <si>
    <t>Técnico vê só seus registros; Gestor/Admin vê todos</t>
  </si>
  <si>
    <t>Security Filter USUARIOS</t>
  </si>
  <si>
    <t>OR(LOOKUP(USEREMAIL(), "USUARIOS", "EMAIL", "PERFIL_ACESSO") = "Administrador", [EMAIL] = USEREMAIL())</t>
  </si>
  <si>
    <t>Usuário vê só seu cadastro; Admin vê todos</t>
  </si>
  <si>
    <t>Security Filter por Região</t>
  </si>
  <si>
    <t>OR(LOOKUP(USEREMAIL(), "USUARIOS", "EMAIL", "PERFIL_ACESSO") = "Administrador", LOOKUP(USEREMAIL(), "USUARIOS", "EMAIL", "REGIAO") = [REGIAO], [EMAIL_USUARIO] = USEREMAIL())</t>
  </si>
  <si>
    <t>Filtra por região do gestor</t>
  </si>
  <si>
    <t>FORMATAÇÃO</t>
  </si>
  <si>
    <t>Format Rules - Concluída</t>
  </si>
  <si>
    <t>[STATUS_ATIVIDADE] = "Concluída"</t>
  </si>
  <si>
    <t>Cor verde: #00B050</t>
  </si>
  <si>
    <t>Format Rules - Em andamento</t>
  </si>
  <si>
    <t>[STATUS_ATIVIDADE] = "Em andamento"</t>
  </si>
  <si>
    <t>Cor amarela: #FFCC00</t>
  </si>
  <si>
    <t>Format Rules - Pendência</t>
  </si>
  <si>
    <t>OR([STATUS_ATIVIDADE] = "Concluída com pendência", [STATUS_ATIVIDADE] = "Parcial")</t>
  </si>
  <si>
    <t>Cor laranja: #FF9900</t>
  </si>
  <si>
    <t>Format Rules - Cancelada</t>
  </si>
  <si>
    <t>[STATUS_ATIVIDADE] = "Cancelada"</t>
  </si>
  <si>
    <t>Cor vermelha: #C00000</t>
  </si>
  <si>
    <t>Format Rules - Rascunho</t>
  </si>
  <si>
    <t>[STATUS_ATIVIDADE] = "Rascunho"</t>
  </si>
  <si>
    <t>Cor cinza: #808080</t>
  </si>
  <si>
    <t>Format Rules - Pend Vencida</t>
  </si>
  <si>
    <t>AND([PRAZO] &lt; TODAY(), [STATUS_ACAO] &lt;&gt; "Concluída")</t>
  </si>
  <si>
    <t>SLICES</t>
  </si>
  <si>
    <t>Slice Minhas Atividades</t>
  </si>
  <si>
    <t>[EMAIL_USUARIO] = USEREMAIL()</t>
  </si>
  <si>
    <t>Filtra atividades do usuário logado</t>
  </si>
  <si>
    <t>Slice Atividades do Dia</t>
  </si>
  <si>
    <t>[DATA_ATIVIDADE] = TODAY()</t>
  </si>
  <si>
    <t>Filtra atividades de hoje</t>
  </si>
  <si>
    <t>Slice Pendências Abertas</t>
  </si>
  <si>
    <t>AND([STATUS_ACAO] &lt;&gt; "Concluída", [STATUS_ACAO] &lt;&gt; "Cancelada")</t>
  </si>
  <si>
    <t>Filtra pendências não finalizadas</t>
  </si>
  <si>
    <t>Slice Pendências Vencidas</t>
  </si>
  <si>
    <t>Filtra pendências vencidas</t>
  </si>
  <si>
    <t>Slice 1a Quinzena Atual</t>
  </si>
  <si>
    <t>AND(DAY([DATA_ATIVIDADE]) &lt;= 15, MONTH([DATA_ATIVIDADE]) = MONTH(TODAY()), YEAR([DATA_ATIVIDADE]) = YEAR(TODAY()))</t>
  </si>
  <si>
    <t>Atividades da 1ª quinzena do mês</t>
  </si>
  <si>
    <t>Slice 2a Quinzena Atual</t>
  </si>
  <si>
    <t>AND(DAY([DATA_ATIVIDADE]) &gt;= 16, MONTH([DATA_ATIVIDADE]) = MONTH(TODAY()), YEAR([DATA_ATIVIDADE]) = YEAR(TODAY()))</t>
  </si>
  <si>
    <t>Atividades da 2ª quinzena do mês</t>
  </si>
  <si>
    <t>SCRIPTS GOOGLE APPS SCRIPT - AUTOMAÇÕES</t>
  </si>
  <si>
    <t>SCRIPT 1: GERAÇÃO DE RELATÓRIO QUINZENAL EM PDF</t>
  </si>
  <si>
    <t>// Configuração de gatilho: executar no dia 16 (1ª quinzena) e dia 1 (2ª quinzena)</t>
  </si>
  <si>
    <t>function gerarRelatorioQuinzenal() {</t>
  </si>
  <si>
    <t xml:space="preserve">  const ss = SpreadsheetApp.getActiveSpreadsheet();</t>
  </si>
  <si>
    <t xml:space="preserve">  const configSheet = ss.getSheetByName('CONFIGURACOES');</t>
  </si>
  <si>
    <t xml:space="preserve">  const registrosSheet = ss.getSheetByName('REGISTROS_ATIVIDADES');</t>
  </si>
  <si>
    <t xml:space="preserve">  </t>
  </si>
  <si>
    <t xml:space="preserve">  // Determinar período</t>
  </si>
  <si>
    <t xml:space="preserve">  const hoje = new Date();</t>
  </si>
  <si>
    <t xml:space="preserve">  const dia = hoje.getDate();</t>
  </si>
  <si>
    <t xml:space="preserve">  let dataInicio, dataFim, quinzena;</t>
  </si>
  <si>
    <t xml:space="preserve">  if (dia &lt;= 15) {</t>
  </si>
  <si>
    <t xml:space="preserve">    // Relatório da 2ª quinzena do mês anterior</t>
  </si>
  <si>
    <t xml:space="preserve">    const mesAnterior = new Date(hoje.getFullYear(), hoje.getMonth() - 1, 16);</t>
  </si>
  <si>
    <t xml:space="preserve">    dataInicio = new Date(mesAnterior.getFullYear(), mesAnterior.getMonth(), 16);</t>
  </si>
  <si>
    <t xml:space="preserve">    dataFim = new Date(mesAnterior.getFullYear(), mesAnterior.getMonth() + 1, 0);</t>
  </si>
  <si>
    <t xml:space="preserve">    quinzena = '2ª Quinzena';</t>
  </si>
  <si>
    <t xml:space="preserve">  } else {</t>
  </si>
  <si>
    <t xml:space="preserve">    // Relatório da 1ª quinzena do mês atual</t>
  </si>
  <si>
    <t xml:space="preserve">    dataInicio = new Date(hoje.getFullYear(), hoje.getMonth(), 1);</t>
  </si>
  <si>
    <t xml:space="preserve">    dataFim = new Date(hoje.getFullYear(), hoje.getMonth(), 15);</t>
  </si>
  <si>
    <t xml:space="preserve">    quinzena = '1ª Quinzena';</t>
  </si>
  <si>
    <t xml:space="preserve">  }</t>
  </si>
  <si>
    <t xml:space="preserve">  // Filtrar registros do período</t>
  </si>
  <si>
    <t xml:space="preserve">  const dados = registrosSheet.getDataRange().getValues();</t>
  </si>
  <si>
    <t xml:space="preserve">  const cabecalhos = dados[0];</t>
  </si>
  <si>
    <t xml:space="preserve">  const colData = cabecalhos.indexOf('DATA_ATIVIDADE');</t>
  </si>
  <si>
    <t xml:space="preserve">  const registrosPeriodo = dados.filter((row, index) =&gt; {</t>
  </si>
  <si>
    <t xml:space="preserve">    if (index === 0) return false;</t>
  </si>
  <si>
    <t xml:space="preserve">    const dataAtiv = new Date(row[colData]);</t>
  </si>
  <si>
    <t xml:space="preserve">    return dataAtiv &gt;= dataInicio &amp;&amp; dataAtiv &lt;= dataFim;</t>
  </si>
  <si>
    <t xml:space="preserve">  });</t>
  </si>
  <si>
    <t xml:space="preserve">  // Criar relatório em nova aba temporária</t>
  </si>
  <si>
    <t xml:space="preserve">  let relatorioSheet = ss.getSheetByName('RELATORIO_TEMP');</t>
  </si>
  <si>
    <t xml:space="preserve">  if (relatorioSheet) ss.deleteSheet(relatorioSheet);</t>
  </si>
  <si>
    <t xml:space="preserve">  relatorioSheet = ss.insertSheet('RELATORIO_TEMP');</t>
  </si>
  <si>
    <t xml:space="preserve">  // Montar relatório...</t>
  </si>
  <si>
    <t xml:space="preserve">  // [código de formatação do relatório]</t>
  </si>
  <si>
    <t xml:space="preserve">  // Exportar para PDF</t>
  </si>
  <si>
    <t xml:space="preserve">  const folder = DriveApp.getFolderById('ID_PASTA_DRIVE');</t>
  </si>
  <si>
    <t xml:space="preserve">  const nomeArquivo = `Relatorio_${quinzena}_${Utilities.formatDate(dataFim, 'GMT-3', 'MMyyyy')}.pdf`;</t>
  </si>
  <si>
    <t xml:space="preserve">  const blob = relatorioSheet.getAs('application/pdf');</t>
  </si>
  <si>
    <t xml:space="preserve">  folder.createFile(blob.setName(nomeArquivo));</t>
  </si>
  <si>
    <t xml:space="preserve">  // Enviar por e-mail</t>
  </si>
  <si>
    <t xml:space="preserve">  const destinatarios = configSheet.getRange('K13').getValue(); // EMAIL_RELATORIO_QUINZENAL</t>
  </si>
  <si>
    <t xml:space="preserve">  MailApp.sendEmail({</t>
  </si>
  <si>
    <t xml:space="preserve">    to: destinatarios,</t>
  </si>
  <si>
    <t>}</t>
  </si>
  <si>
    <t>SCRIPT 2: ALERTA DE PENDÊNCIAS VENCIDAS</t>
  </si>
  <si>
    <t>// Configurar gatilho: executar diariamente às 8h</t>
  </si>
  <si>
    <t>function alertarPendenciasVencidas() {</t>
  </si>
  <si>
    <t xml:space="preserve">  const pendenciasSheet = ss.getSheetByName('ACOES_PENDENCIAS');</t>
  </si>
  <si>
    <t xml:space="preserve">  const usuariosSheet = ss.getSheetByName('USUARIOS');</t>
  </si>
  <si>
    <t xml:space="preserve">  const dados = pendenciasSheet.getDataRange().getValues();</t>
  </si>
  <si>
    <t xml:space="preserve">  hoje.setHours(0, 0, 0, 0);</t>
  </si>
  <si>
    <t xml:space="preserve">  // Índices das colunas</t>
  </si>
  <si>
    <t xml:space="preserve">  const colPrazo = cabecalhos.indexOf('PRAZO');</t>
  </si>
  <si>
    <t xml:space="preserve">  const colStatus = cabecalhos.indexOf('STATUS_ACAO');</t>
  </si>
  <si>
    <t xml:space="preserve">  const colDesc = cabecalhos.indexOf('DESCRICAO_ACAO');</t>
  </si>
  <si>
    <t xml:space="preserve">  const colResp = cabecalhos.indexOf('RESPONSAVEL');</t>
  </si>
  <si>
    <t xml:space="preserve">  const colIdAtiv = cabecalhos.indexOf('ID_ATIVIDADE');</t>
  </si>
  <si>
    <t xml:space="preserve">  // Filtrar pendências vencidas e próximas de vencer</t>
  </si>
  <si>
    <t xml:space="preserve">  const vencidas = [];</t>
  </si>
  <si>
    <t xml:space="preserve">  const proximasVencer = [];</t>
  </si>
  <si>
    <t xml:space="preserve">  for (let i = 1; i &lt; dados.length; i++) {</t>
  </si>
  <si>
    <t xml:space="preserve">    const row = dados[i];</t>
  </si>
  <si>
    <t xml:space="preserve">    if (row[colStatus] === 'Concluída' || row[colStatus] === 'Cancelada') continue;</t>
  </si>
  <si>
    <t xml:space="preserve">    </t>
  </si>
  <si>
    <t xml:space="preserve">    const prazo = new Date(row[colPrazo]);</t>
  </si>
  <si>
    <t xml:space="preserve">    prazo.setHours(0, 0, 0, 0);</t>
  </si>
  <si>
    <t xml:space="preserve">    const diasRestantes = Math.floor((prazo - hoje) / (1000 * 60 * 60 * 24));</t>
  </si>
  <si>
    <t xml:space="preserve">    if (diasRestantes &lt; 0) {</t>
  </si>
  <si>
    <t xml:space="preserve">      vencidas.push({ ...row, diasAtraso: Math.abs(diasRestantes) });</t>
  </si>
  <si>
    <t xml:space="preserve">    } else if (diasRestantes &lt;= 3) {</t>
  </si>
  <si>
    <t xml:space="preserve">      proximasVencer.push({ ...row, diasRestantes });</t>
  </si>
  <si>
    <t xml:space="preserve">    }</t>
  </si>
  <si>
    <t xml:space="preserve">  // Enviar alerta se houver pendências</t>
  </si>
  <si>
    <t xml:space="preserve">  if (vencidas.length &gt; 0 || proximasVencer.length &gt; 0) {</t>
  </si>
  <si>
    <t xml:space="preserve">    const gestores = usuariosSheet.getDataRange().getValues()</t>
  </si>
  <si>
    <t xml:space="preserve">      .filter(row =&gt; row[5] === 'Técnico Enel/Gestor' || row[5] === 'Administrador')</t>
  </si>
  <si>
    <t xml:space="preserve">      .map(row =&gt; row[2]); // coluna EMAIL</t>
  </si>
  <si>
    <t xml:space="preserve">    let corpo = 'Prezado(a),\n\nSegue o status das pendências de atividades de campo:\n\n';</t>
  </si>
  <si>
    <t xml:space="preserve">    if (vencidas.length &gt; 0) {</t>
  </si>
  <si>
    <t xml:space="preserve">      corpo += `⚠️ PENDÊNCIAS VENCIDAS: ${vencidas.length}\n`;</t>
  </si>
  <si>
    <t xml:space="preserve">      vencidas.forEach(p =&gt; {</t>
  </si>
  <si>
    <t xml:space="preserve">        corpo += `- ${p[colDesc]} (${p.diasAtraso} dias de atraso)\n`;</t>
  </si>
  <si>
    <t xml:space="preserve">      });</t>
  </si>
  <si>
    <t xml:space="preserve">      corpo += '\n';</t>
  </si>
  <si>
    <t xml:space="preserve">    if (proximasVencer.length &gt; 0) {</t>
  </si>
  <si>
    <t xml:space="preserve">      corpo += `⏰ PRÓXIMAS A VENCER (3 dias): ${proximasVencer.length}\n`;</t>
  </si>
  <si>
    <t xml:space="preserve">    MailApp.sendEmail({</t>
  </si>
  <si>
    <t xml:space="preserve">      to: gestores.join(','),</t>
  </si>
  <si>
    <t xml:space="preserve">      subject: '[ALERTA] Pendências de Atividades de Campo - Enel',</t>
  </si>
  <si>
    <t xml:space="preserve">      body: corpo</t>
  </si>
  <si>
    <t xml:space="preserve">    });</t>
  </si>
  <si>
    <t>SCRIPT 3: ORGANIZAÇÃO DE FOTOS NO GOOGLE DRIVE</t>
  </si>
  <si>
    <t>// Este script organiza as fotos em pastas por Ano/Mês/ID_ATIVIDADE</t>
  </si>
  <si>
    <t>// Pode ser acionado via AppSheet Automation ou gatilho</t>
  </si>
  <si>
    <t>function organizarFotoNoDrive(idAtividade, arquivoFoto) {</t>
  </si>
  <si>
    <t xml:space="preserve">  const pastaRaiz = DriveApp.getFolderById('ID_PASTA_RAIZ_FOTOS');</t>
  </si>
  <si>
    <t xml:space="preserve">  const dataAtual = new Date();</t>
  </si>
  <si>
    <t xml:space="preserve">  const ano = dataAtual.getFullYear().toString();</t>
  </si>
  <si>
    <t xml:space="preserve">  const mes = Utilities.formatDate(dataAtual, 'GMT-3', 'MM - MMMM');</t>
  </si>
  <si>
    <t xml:space="preserve">  // Criar/obter pasta do ano</t>
  </si>
  <si>
    <t xml:space="preserve">  let pastaAno = obterOuCriarPasta(pastaRaiz, ano);</t>
  </si>
  <si>
    <t xml:space="preserve">  // Criar/obter pasta do mês</t>
  </si>
  <si>
    <t xml:space="preserve">  let pastaMes = obterOuCriarPasta(pastaAno, mes);</t>
  </si>
  <si>
    <t xml:space="preserve">  // Criar/obter pasta da atividade</t>
  </si>
  <si>
    <t xml:space="preserve">  let pastaAtividade = obterOuCriarPasta(pastaMes, idAtividade);</t>
  </si>
  <si>
    <t xml:space="preserve">  // Mover arquivo para a pasta</t>
  </si>
  <si>
    <t xml:space="preserve">  const arquivo = DriveApp.getFileById(arquivoFoto);</t>
  </si>
  <si>
    <t xml:space="preserve">  arquivo.moveTo(pastaAtividade);</t>
  </si>
  <si>
    <t xml:space="preserve">  return pastaAtividade.getUrl();</t>
  </si>
  <si>
    <t>function obterOuCriarPasta(pastaParent, nomePasta) {</t>
  </si>
  <si>
    <t xml:space="preserve">  const pastas = pastaParent.getFoldersByName(nomePasta);</t>
  </si>
  <si>
    <t xml:space="preserve">  if (pastas.hasNext()) {</t>
  </si>
  <si>
    <t xml:space="preserve">    return pastas.next();</t>
  </si>
  <si>
    <t xml:space="preserve">    return pastaParent.createFolder(nomePasta);</t>
  </si>
  <si>
    <t>SCRIPT 4: GEOCODIFICAÇÃO REVERSA (COORDENADAS → ENDEREÇO)</t>
  </si>
  <si>
    <t>// Converte coordenadas GPS em endereço legível</t>
  </si>
  <si>
    <t>// Requer API Key do Google Maps (opcional, mas recomendado para alto volume)</t>
  </si>
  <si>
    <t>function geocodificarCoordenadas(latitude, longitude) {</t>
  </si>
  <si>
    <t xml:space="preserve">  try {</t>
  </si>
  <si>
    <t xml:space="preserve">    const response = Maps.newGeocoder()</t>
  </si>
  <si>
    <t xml:space="preserve">      .reverseGeocode(parseFloat(latitude), parseFloat(longitude));</t>
  </si>
  <si>
    <t xml:space="preserve">    if (response.status === 'OK' &amp;&amp; response.results.length &gt; 0) {</t>
  </si>
  <si>
    <t xml:space="preserve">      const resultado = response.results[0];</t>
  </si>
  <si>
    <t xml:space="preserve">      return {</t>
  </si>
  <si>
    <t xml:space="preserve">        endereco_completo: resultado.formatted_address,</t>
  </si>
  <si>
    <t xml:space="preserve">        municipio: extrairComponente(resultado, 'administrative_area_level_2'),</t>
  </si>
  <si>
    <t xml:space="preserve">        estado: extrairComponente(resultado, 'administrative_area_level_1'),</t>
  </si>
  <si>
    <t xml:space="preserve">        bairro: extrairComponente(resultado, 'sublocality_level_1'),</t>
  </si>
  <si>
    <t xml:space="preserve">        logradouro: extrairComponente(resultado, 'route')</t>
  </si>
  <si>
    <t xml:space="preserve">      };</t>
  </si>
  <si>
    <t xml:space="preserve">  } catch (e) {</t>
  </si>
  <si>
    <t xml:space="preserve">    Logger.log('Erro na geocodificação: ' + e.message);</t>
  </si>
  <si>
    <t xml:space="preserve">  return null;</t>
  </si>
  <si>
    <t>function extrairComponente(resultado, tipo) {</t>
  </si>
  <si>
    <t xml:space="preserve">  const componente = resultado.address_components.find(c =&gt; c.types.includes(tipo));</t>
  </si>
  <si>
    <t xml:space="preserve">  return componente ? componente.long_name : '';</t>
  </si>
  <si>
    <t>MANUAL DO USUÁRIO - REGISTRO DE ATIVIDADES DE CAMPO ENEL</t>
  </si>
  <si>
    <t>MANUAL DO TÉCNICO DE CAMPO</t>
  </si>
  <si>
    <t>1. ACESSO AO APLICATIVO</t>
  </si>
  <si>
    <t>Passo</t>
  </si>
  <si>
    <t>Ação</t>
  </si>
  <si>
    <t>Resultado Esperado</t>
  </si>
  <si>
    <t>Observação</t>
  </si>
  <si>
    <t>Abra o aplicativo no celular</t>
  </si>
  <si>
    <t>Tela de login aparece</t>
  </si>
  <si>
    <t>Use o ícone 'Enel Campo'</t>
  </si>
  <si>
    <t>Faça login com seu e-mail @enel.com</t>
  </si>
  <si>
    <t>Acesso à tela inicial</t>
  </si>
  <si>
    <t>Mesmo e-mail do Google</t>
  </si>
  <si>
    <t>Verifique seu nome no canto superior</t>
  </si>
  <si>
    <t>Seu nome aparece corretamente</t>
  </si>
  <si>
    <t>Se incorreto, contate admin</t>
  </si>
  <si>
    <t>2. REGISTRAR NOVA ATIVIDADE</t>
  </si>
  <si>
    <t>Na tela inicial, toque em 'Nova Atividade'</t>
  </si>
  <si>
    <t>Formulário de registro abre</t>
  </si>
  <si>
    <t>Botão verde grande</t>
  </si>
  <si>
    <t>Confira dados automáticos (data, nome, matrícula)</t>
  </si>
  <si>
    <t>Campos preenchidos corretamente</t>
  </si>
  <si>
    <t>Não editáveis</t>
  </si>
  <si>
    <t>Selecione o Tipo de Atividade</t>
  </si>
  <si>
    <t>Lista suspensa com opções</t>
  </si>
  <si>
    <t>Se 'Outras', descreva abaixo</t>
  </si>
  <si>
    <t>Selecione a Parceira</t>
  </si>
  <si>
    <t>Lista com parceiras cadastradas</t>
  </si>
  <si>
    <t>Preencha Projeto/OS/Circuito conforme aplicável</t>
  </si>
  <si>
    <t>Campos preenchidos</t>
  </si>
  <si>
    <t>Opcional</t>
  </si>
  <si>
    <t>Informe horário de início e término</t>
  </si>
  <si>
    <t>Duração calculada automaticamente</t>
  </si>
  <si>
    <t>Toque em 'Capturar Localização'</t>
  </si>
  <si>
    <t>GPS ativado, coordenadas aparecem</t>
  </si>
  <si>
    <t>Permita acesso ao GPS</t>
  </si>
  <si>
    <t>Confirme ou corrija o endereço</t>
  </si>
  <si>
    <t>Endereço visível</t>
  </si>
  <si>
    <t>Link do mapa gerado</t>
  </si>
  <si>
    <t>Preencha descrição da atividade</t>
  </si>
  <si>
    <t>Texto salvo</t>
  </si>
  <si>
    <t>Seja detalhado</t>
  </si>
  <si>
    <t>Informe situação encontrada</t>
  </si>
  <si>
    <t>Descreva ações realizadas</t>
  </si>
  <si>
    <t>Se houver não conformidade, marque 'Sim' e descreva</t>
  </si>
  <si>
    <t>Campos extras aparecem</t>
  </si>
  <si>
    <t>Foto obrigatória</t>
  </si>
  <si>
    <t>Se houver pendência, marque 'Sim'</t>
  </si>
  <si>
    <t>Campos de pendência aparecem</t>
  </si>
  <si>
    <t>Informe responsável, empresa e prazo da pendência</t>
  </si>
  <si>
    <t>Prazo obrigatório</t>
  </si>
  <si>
    <t>Selecione prioridade e status</t>
  </si>
  <si>
    <t>Valores selecionados</t>
  </si>
  <si>
    <t>Avance para 'Adicionar Fotos'</t>
  </si>
  <si>
    <t>Tela de fotos abre</t>
  </si>
  <si>
    <t>3. ADICIONAR FOTOS</t>
  </si>
  <si>
    <t>Toque em 'Adicionar Foto'</t>
  </si>
  <si>
    <t>Câmera do celular abre</t>
  </si>
  <si>
    <t>Tire a foto da evidência</t>
  </si>
  <si>
    <t>Foto capturada</t>
  </si>
  <si>
    <t>Boa iluminação</t>
  </si>
  <si>
    <t>Selecione o tipo de evidência</t>
  </si>
  <si>
    <t>Lista com opções</t>
  </si>
  <si>
    <t>Ex: Antes, Durante, Depois</t>
  </si>
  <si>
    <t>Digite uma legenda descritiva</t>
  </si>
  <si>
    <t>Obrigatório para NC</t>
  </si>
  <si>
    <t>Repita para adicionar mais fotos</t>
  </si>
  <si>
    <t>Galeria atualizada</t>
  </si>
  <si>
    <t>Sem limite de fotos</t>
  </si>
  <si>
    <t>Revise a galeria antes de continuar</t>
  </si>
  <si>
    <t>Fotos visíveis</t>
  </si>
  <si>
    <t>Pode excluir se necessário</t>
  </si>
  <si>
    <t>4. CONFERIR E ENVIAR</t>
  </si>
  <si>
    <t>Na tela de resumo, confira todos os dados</t>
  </si>
  <si>
    <t>Resumo completo</t>
  </si>
  <si>
    <t>ID, técnico, data, local</t>
  </si>
  <si>
    <t>Se precisar corrigir, toque em 'Editar'</t>
  </si>
  <si>
    <t>Volta ao formulário</t>
  </si>
  <si>
    <t>Para salvar sem finalizar, use 'Rascunho'</t>
  </si>
  <si>
    <t>Status = Rascunho</t>
  </si>
  <si>
    <t>Pode continuar depois</t>
  </si>
  <si>
    <t>Quando correto, toque em 'Finalizar'</t>
  </si>
  <si>
    <t>Registro enviado</t>
  </si>
  <si>
    <t>Status atualizado</t>
  </si>
  <si>
    <t>Aguarde sincronização</t>
  </si>
  <si>
    <t>Confirmação na tela</t>
  </si>
  <si>
    <t>Offline sincroniza depois</t>
  </si>
  <si>
    <t>5. CONSULTAR MEUS REGISTROS</t>
  </si>
  <si>
    <t>Toque em 'Meus Registros'</t>
  </si>
  <si>
    <t>Lista de atividades</t>
  </si>
  <si>
    <t>Ordenado por data</t>
  </si>
  <si>
    <t>Use os filtros para buscar</t>
  </si>
  <si>
    <t>Lista filtrada</t>
  </si>
  <si>
    <t>Por período, status</t>
  </si>
  <si>
    <t>Toque em um registro para detalhes</t>
  </si>
  <si>
    <t>Tela de detalhes</t>
  </si>
  <si>
    <t>MANUAL DO GESTOR/TÉCNICO ENEL</t>
  </si>
  <si>
    <t>1. CONSULTAR ATIVIDADES</t>
  </si>
  <si>
    <t>• Acesse 'Todas as Atividades' para ver registros da sua região</t>
  </si>
  <si>
    <t>• Use filtros: período, técnico, parceira, tipo, status</t>
  </si>
  <si>
    <t>• Clique em qualquer registro para ver detalhes completos</t>
  </si>
  <si>
    <t>• Visualize fotos e localização no mapa</t>
  </si>
  <si>
    <t>2. ACOMPANHAR PENDÊNCIAS</t>
  </si>
  <si>
    <t>• Acesse 'Pendências Abertas' para ver todas as pendências ativas</t>
  </si>
  <si>
    <t>• Acesse 'Pendências Vencidas' para ações urgentes</t>
  </si>
  <si>
    <t>• Verifique responsáveis e prazos</t>
  </si>
  <si>
    <t>• Acompanhe até a conclusão</t>
  </si>
  <si>
    <t>3. DASHBOARD E INDICADORES</t>
  </si>
  <si>
    <t>• Acesse 'Dashboard' para visão gerencial</t>
  </si>
  <si>
    <t>• Filtre por período, região, parceira</t>
  </si>
  <si>
    <t>• Analise gráficos de distribuição</t>
  </si>
  <si>
    <t>• Identifique tendências e problemas</t>
  </si>
  <si>
    <t>4. RELATÓRIOS</t>
  </si>
  <si>
    <t>• Relatórios quinzenais são gerados automaticamente</t>
  </si>
  <si>
    <t>• Acesse 'Relatórios' para baixar PDFs</t>
  </si>
  <si>
    <t>• Exporte dados para análises customizadas</t>
  </si>
  <si>
    <t>MANUAL DO ADMINISTRADOR</t>
  </si>
  <si>
    <t>1. GERENCIAR USUÁRIOS</t>
  </si>
  <si>
    <t>• Acesse 'Cadastros &gt; Usuários' para adicionar/editar usuários</t>
  </si>
  <si>
    <t>• Defina perfil de acesso: Técnico de Campo, Gestor ou Administrador</t>
  </si>
  <si>
    <t>• Atribua região e polo de atuação</t>
  </si>
  <si>
    <t>• Ative ou desative usuários conforme necessário</t>
  </si>
  <si>
    <t>2. GERENCIAR LISTAS</t>
  </si>
  <si>
    <t>• Adicione novos Tipos de Atividade em 'Cadastros &gt; Tipos'</t>
  </si>
  <si>
    <t>• Cadastre novas Parceiras em 'Cadastros &gt; Parceiras'</t>
  </si>
  <si>
    <t>• Configure Regiões, Polos e outras listas em 'Configurações'</t>
  </si>
  <si>
    <t>3. CONFIGURAÇÕES DO SISTEMA</t>
  </si>
  <si>
    <t>• Defina prazo de edição permitido (dias)</t>
  </si>
  <si>
    <t>• Configure destinatários dos relatórios automáticos</t>
  </si>
  <si>
    <t>• Defina pasta do Google Drive para armazenamento</t>
  </si>
  <si>
    <t>• Configure horários das automações</t>
  </si>
  <si>
    <t>4. AUDITORIA E LOGS</t>
  </si>
  <si>
    <t>• Acesse 'Logs' para ver histórico de alterações</t>
  </si>
  <si>
    <t>• Monitore criações, edições e exclusões</t>
  </si>
  <si>
    <t>• Identifique usuário e data/hora de cada operação</t>
  </si>
  <si>
    <t>PLANO DE TESTES - SISTEMA DE REGISTRO DE ATIVIDADES DE CAMPO</t>
  </si>
  <si>
    <t>ID_TESTE</t>
  </si>
  <si>
    <t>CENÁRIO</t>
  </si>
  <si>
    <t>PASSOS</t>
  </si>
  <si>
    <t>RESULTADO_ESPERADO</t>
  </si>
  <si>
    <t>STATUS</t>
  </si>
  <si>
    <t>OBSERVAÇÕES</t>
  </si>
  <si>
    <t>T001</t>
  </si>
  <si>
    <t>Autenticação</t>
  </si>
  <si>
    <t>Login com e-mail válido</t>
  </si>
  <si>
    <t>1. Abrir app 2. Inserir e-mail @enel.com 3. Confirmar</t>
  </si>
  <si>
    <t>Acesso concedido, nome exibido</t>
  </si>
  <si>
    <t>Pendente</t>
  </si>
  <si>
    <t>T002</t>
  </si>
  <si>
    <t>Login com e-mail inválido</t>
  </si>
  <si>
    <t>1. Abrir app 2. Inserir e-mail externo</t>
  </si>
  <si>
    <t>Acesso negado, mensagem de erro</t>
  </si>
  <si>
    <t>T003</t>
  </si>
  <si>
    <t>ID Automático</t>
  </si>
  <si>
    <t>Geração de ID único</t>
  </si>
  <si>
    <t>1. Criar nova atividade 2. Verificar ID gerado</t>
  </si>
  <si>
    <t>ID no formato ATV-AAAA-NNNN único</t>
  </si>
  <si>
    <t>T004</t>
  </si>
  <si>
    <t>ID não editável</t>
  </si>
  <si>
    <t>1. Criar atividade 2. Tentar editar ID</t>
  </si>
  <si>
    <t>Campo bloqueado para edição</t>
  </si>
  <si>
    <t>T005</t>
  </si>
  <si>
    <t>Data/Hora Auto</t>
  </si>
  <si>
    <t>Preenchimento automático</t>
  </si>
  <si>
    <t>1. Criar nova atividade 2. Verificar data/hora</t>
  </si>
  <si>
    <t>Data e hora atuais preenchidos</t>
  </si>
  <si>
    <t>T006</t>
  </si>
  <si>
    <t>Campos não editáveis</t>
  </si>
  <si>
    <t>1. Tentar alterar data de criação</t>
  </si>
  <si>
    <t>Campo bloqueado</t>
  </si>
  <si>
    <t>T007</t>
  </si>
  <si>
    <t>Usuário</t>
  </si>
  <si>
    <t>Identificação automática</t>
  </si>
  <si>
    <t>1. Login 2. Verificar nome e matrícula</t>
  </si>
  <si>
    <t>Dados do usuário preenchidos via lookup</t>
  </si>
  <si>
    <t>T008</t>
  </si>
  <si>
    <t>GPS</t>
  </si>
  <si>
    <t>Captura de localização</t>
  </si>
  <si>
    <t>1. Tocar em capturar GPS 2. Permitir acesso</t>
  </si>
  <si>
    <t>Coordenadas capturadas corretamente</t>
  </si>
  <si>
    <t>T009</t>
  </si>
  <si>
    <t>Link do Google Maps</t>
  </si>
  <si>
    <t>1. Capturar GPS 2. Verificar link gerado</t>
  </si>
  <si>
    <t>Link abre localização correta no Maps</t>
  </si>
  <si>
    <t>T010</t>
  </si>
  <si>
    <t>Funcionamento sem GPS</t>
  </si>
  <si>
    <t>1. Desativar GPS 2. Tentar capturar</t>
  </si>
  <si>
    <t>Mensagem solicitando ativação</t>
  </si>
  <si>
    <t>T011</t>
  </si>
  <si>
    <t>Campos Cond.</t>
  </si>
  <si>
    <t>Tipo 'Outras' mostra campo extra</t>
  </si>
  <si>
    <t>1. Selecionar 'Outras' 2. Verificar campo</t>
  </si>
  <si>
    <t>Campo OUTRO_TIPO visível e obrigatório</t>
  </si>
  <si>
    <t>T012</t>
  </si>
  <si>
    <t>Não conformidade mostra descrição</t>
  </si>
  <si>
    <t>1. Marcar NC = Sim</t>
  </si>
  <si>
    <t>Campo de descrição NC aparece</t>
  </si>
  <si>
    <t>T013</t>
  </si>
  <si>
    <t>Pendência mostra campos extras</t>
  </si>
  <si>
    <t>1. Marcar Pendência = Sim</t>
  </si>
  <si>
    <t>Responsável, prazo, prioridade aparecem</t>
  </si>
  <si>
    <t>T014</t>
  </si>
  <si>
    <t>Validação</t>
  </si>
  <si>
    <t>Horário término &gt; início</t>
  </si>
  <si>
    <t>1. Inserir término &lt; início 2. Salvar</t>
  </si>
  <si>
    <t>Erro de validação exibido</t>
  </si>
  <si>
    <t>T015</t>
  </si>
  <si>
    <t>Campos obrigatórios</t>
  </si>
  <si>
    <t>1. Deixar campos vazios 2. Salvar</t>
  </si>
  <si>
    <t>Mensagem indicando campos faltantes</t>
  </si>
  <si>
    <t>T016</t>
  </si>
  <si>
    <t>Fotos</t>
  </si>
  <si>
    <t>Adicionar múltiplas fotos</t>
  </si>
  <si>
    <t>1. Adicionar 5 fotos diferentes</t>
  </si>
  <si>
    <t>Todas vinculadas à atividade</t>
  </si>
  <si>
    <t>T017</t>
  </si>
  <si>
    <t>1. Foto tipo NC sem legenda</t>
  </si>
  <si>
    <t>Não permite salvar sem legenda</t>
  </si>
  <si>
    <t>T018</t>
  </si>
  <si>
    <t>Organização no Drive</t>
  </si>
  <si>
    <t>1. Adicionar foto 2. Verificar Drive</t>
  </si>
  <si>
    <t>Pasta Ano/Mês/ID criada corretamente</t>
  </si>
  <si>
    <t>T019</t>
  </si>
  <si>
    <t>Técnico vê só seus registros</t>
  </si>
  <si>
    <t>1. Login técnico 2. Verificar lista</t>
  </si>
  <si>
    <t>Apenas registros próprios visíveis</t>
  </si>
  <si>
    <t>T020</t>
  </si>
  <si>
    <t>Gestor vê registros da região</t>
  </si>
  <si>
    <t>1. Login gestor 2. Verificar lista</t>
  </si>
  <si>
    <t>Registros da região visíveis</t>
  </si>
  <si>
    <t>T021</t>
  </si>
  <si>
    <t>Admin acesso total</t>
  </si>
  <si>
    <t>1. Login admin 2. Verificar todos dados</t>
  </si>
  <si>
    <t>Acesso a todos os registros e configurações</t>
  </si>
  <si>
    <t>T022</t>
  </si>
  <si>
    <t>Edição</t>
  </si>
  <si>
    <t>Editar dentro do prazo</t>
  </si>
  <si>
    <t>1. Editar registro &lt; 3 dias</t>
  </si>
  <si>
    <t>Edição permitida e salva</t>
  </si>
  <si>
    <t>T023</t>
  </si>
  <si>
    <t>Bloqueio após prazo</t>
  </si>
  <si>
    <t>1. Tentar editar registro &gt; 3 dias</t>
  </si>
  <si>
    <t>Edição bloqueada, mensagem exibida</t>
  </si>
  <si>
    <t>T024</t>
  </si>
  <si>
    <t>Offline</t>
  </si>
  <si>
    <t>Criar registro sem internet</t>
  </si>
  <si>
    <t>1. Desativar wifi/dados 2. Criar registro</t>
  </si>
  <si>
    <t>Registro salvo localmente</t>
  </si>
  <si>
    <t>T025</t>
  </si>
  <si>
    <t>Sincronização ao reconectar</t>
  </si>
  <si>
    <t>1. Ativar internet 2. Verificar sync</t>
  </si>
  <si>
    <t>Registro sincronizado automaticamente</t>
  </si>
  <si>
    <t>T026</t>
  </si>
  <si>
    <t>Dashboard</t>
  </si>
  <si>
    <t>Indicadores corretos</t>
  </si>
  <si>
    <t>1. Verificar total atividades</t>
  </si>
  <si>
    <t>Número corresponde aos registros</t>
  </si>
  <si>
    <t>T027</t>
  </si>
  <si>
    <t>Filtros funcionando</t>
  </si>
  <si>
    <t>1. Aplicar filtro período 2. Verificar</t>
  </si>
  <si>
    <t>Indicadores recalculados corretamente</t>
  </si>
  <si>
    <t>T028</t>
  </si>
  <si>
    <t>Relatório</t>
  </si>
  <si>
    <t>Geração quinzenal automática</t>
  </si>
  <si>
    <t>1. Aguardar dia 16 2. Verificar e-mail</t>
  </si>
  <si>
    <t>PDF recebido com dados corretos</t>
  </si>
  <si>
    <t>T029</t>
  </si>
  <si>
    <t>Conteúdo do relatório</t>
  </si>
  <si>
    <t>1. Abrir PDF gerado</t>
  </si>
  <si>
    <t>Todas as seções presentes e corretas</t>
  </si>
  <si>
    <t>T030</t>
  </si>
  <si>
    <t>Alerta de vencimento</t>
  </si>
  <si>
    <t>1. Criar pendência com prazo 2. Aguardar</t>
  </si>
  <si>
    <t>Alerta enviado no dia configurado</t>
  </si>
  <si>
    <t>T031</t>
  </si>
  <si>
    <t>Destaque de vencidas</t>
  </si>
  <si>
    <t>1. Ver lista pendências vencidas</t>
  </si>
  <si>
    <t>Pendências vencidas em vermelho</t>
  </si>
  <si>
    <t>T032</t>
  </si>
  <si>
    <t>Parceiras</t>
  </si>
  <si>
    <t>Lista suspensa funcional</t>
  </si>
  <si>
    <t>1. Criar atividade 2. Selecionar parceira</t>
  </si>
  <si>
    <t>Lista com todas parceiras cadastradas</t>
  </si>
  <si>
    <t>T033</t>
  </si>
  <si>
    <t>Cadastrar nova parceira</t>
  </si>
  <si>
    <t>1. Admin &gt; Parceiras &gt; Nova</t>
  </si>
  <si>
    <t>Parceira disponível na lista</t>
  </si>
  <si>
    <t>T034</t>
  </si>
  <si>
    <t>Tipos Ativ.</t>
  </si>
  <si>
    <t>1. Criar atividade 2. Selecionar tipo</t>
  </si>
  <si>
    <t>Lista com 17 tipos disponíveis</t>
  </si>
  <si>
    <t>T035</t>
  </si>
  <si>
    <t>Cadastrar novo tipo</t>
  </si>
  <si>
    <t>1. Admin &gt; Tipos &gt; Novo</t>
  </si>
  <si>
    <t>Tipo disponível na lista</t>
  </si>
  <si>
    <t>T036</t>
  </si>
  <si>
    <t>Log</t>
  </si>
  <si>
    <t>Registro de criação</t>
  </si>
  <si>
    <t>1. Criar atividade 2. Verificar log</t>
  </si>
  <si>
    <t>Entrada de criação no log</t>
  </si>
  <si>
    <t>T037</t>
  </si>
  <si>
    <t>Registro de alteração</t>
  </si>
  <si>
    <t>1. Editar atividade 2. Verificar log</t>
  </si>
  <si>
    <t>Entrada com campo e valores anterior/novo</t>
  </si>
  <si>
    <t>T038</t>
  </si>
  <si>
    <t>Mapa</t>
  </si>
  <si>
    <t>Visualização de pontos</t>
  </si>
  <si>
    <t>1. Acessar mapa de atividades</t>
  </si>
  <si>
    <t>Pontos exibidos nas coordenadas corretas</t>
  </si>
  <si>
    <t>T039</t>
  </si>
  <si>
    <t>Performance</t>
  </si>
  <si>
    <t>Carga com 100 registros</t>
  </si>
  <si>
    <t>1. Carregar lista com 100+ registros</t>
  </si>
  <si>
    <t>Lista carrega em &lt; 5 segundos</t>
  </si>
  <si>
    <t>T040</t>
  </si>
  <si>
    <t>Sincronização múltipla</t>
  </si>
  <si>
    <t>1. Sync 10 registros offline</t>
  </si>
  <si>
    <t>Todos sincronizados corretamente</t>
  </si>
  <si>
    <t>CHECKLIST DE IMPLEMENTAÇÃO - APPSHEET</t>
  </si>
  <si>
    <t>ETAPA</t>
  </si>
  <si>
    <t>TAREFA</t>
  </si>
  <si>
    <t>RESPONSÁVEL</t>
  </si>
  <si>
    <t>1. PREPARAÇÃO</t>
  </si>
  <si>
    <t>1.1 Criar Google Sheets</t>
  </si>
  <si>
    <t>Criar planilha base no Google Drive</t>
  </si>
  <si>
    <t>1.2 Criar todas as abas</t>
  </si>
  <si>
    <t>USUARIOS, REGISTROS, TIPOS, PARCEIRAS, FOTOS, ACOES, CONFIG, LOG</t>
  </si>
  <si>
    <t>1.3 Inserir cabeçalhos</t>
  </si>
  <si>
    <t>Copiar cabeçalhos deste modelo para cada aba</t>
  </si>
  <si>
    <t>1.4 Inserir dados iniciais</t>
  </si>
  <si>
    <t>Tipos de atividade, parceiras, configurações</t>
  </si>
  <si>
    <t>1.5 Criar pasta no Drive</t>
  </si>
  <si>
    <t>Estrutura: Atividades de Campo/Ano/Mês</t>
  </si>
  <si>
    <t>2. APPSHEET</t>
  </si>
  <si>
    <t>2.1 Criar app no AppSheet</t>
  </si>
  <si>
    <t>Acessar appsheet.com, criar novo app</t>
  </si>
  <si>
    <t>2.2 Conectar Google Sheets</t>
  </si>
  <si>
    <t>Vincular planilha como fonte de dados</t>
  </si>
  <si>
    <t>2.3 Configurar tabelas</t>
  </si>
  <si>
    <t>Definir tipos de colunas em cada tabela</t>
  </si>
  <si>
    <t>2.4 Definir chaves primárias</t>
  </si>
  <si>
    <t>ID_ATIVIDADE, ID_USUARIO, ID_FOTO, etc.</t>
  </si>
  <si>
    <t>2.5 Configurar relacionamentos</t>
  </si>
  <si>
    <t>Refs entre FOTOS→REGISTROS, ACOES→REGISTROS</t>
  </si>
  <si>
    <t>2.6 Criar colunas virtuais</t>
  </si>
  <si>
    <t>QUINZENA, MES_ANO, DIAS_PARA_VENCER, etc.</t>
  </si>
  <si>
    <t>2.7 Inserir expressões App Formula</t>
  </si>
  <si>
    <t>Copiar expressões da aba EXPRESSOES_APPSHEET</t>
  </si>
  <si>
    <t>2.8 Inserir expressões Initial Value</t>
  </si>
  <si>
    <t>ID automático, data/hora, usuário</t>
  </si>
  <si>
    <t>3. FORMULÁRIOS</t>
  </si>
  <si>
    <t>3.1 Criar formulário de atividade</t>
  </si>
  <si>
    <t>Form com todas as seções/etapas</t>
  </si>
  <si>
    <t>3.2 Configurar Show_If</t>
  </si>
  <si>
    <t>Campos condicionais conforme expressões</t>
  </si>
  <si>
    <t>3.3 Configurar Valid_If</t>
  </si>
  <si>
    <t>Validações de horário, pendência, etc.</t>
  </si>
  <si>
    <t>3.4 Configurar Editable_If</t>
  </si>
  <si>
    <t>Controle de edição por prazo e perfil</t>
  </si>
  <si>
    <t>3.5 Formulário de fotos</t>
  </si>
  <si>
    <t>Inline ou relacionado a FOTOS_ATIVIDADES</t>
  </si>
  <si>
    <t>4. SEGURANÇA</t>
  </si>
  <si>
    <t>4.1 Configurar Security Filters</t>
  </si>
  <si>
    <t>Filtros por USEREMAIL e PERFIL</t>
  </si>
  <si>
    <t>4.2 Definir permissões por tabela</t>
  </si>
  <si>
    <t>Read/Add/Update/Delete por perfil</t>
  </si>
  <si>
    <t>4.3 Configurar login obrigatório</t>
  </si>
  <si>
    <t>Settings &gt; Security &gt; Require sign-in</t>
  </si>
  <si>
    <t>4.4 Adicionar domínio permitido</t>
  </si>
  <si>
    <t>Whitelist @enel.com</t>
  </si>
  <si>
    <t>5. VIEWS E UX</t>
  </si>
  <si>
    <t>5.1 Criar view página inicial</t>
  </si>
  <si>
    <t>Dashboard com botões grandes</t>
  </si>
  <si>
    <t>5.2 Criar slices</t>
  </si>
  <si>
    <t>Minhas Atividades, Pendências, etc.</t>
  </si>
  <si>
    <t>5.3 Criar views de lista</t>
  </si>
  <si>
    <t>Atividades, Pendências, Fotos</t>
  </si>
  <si>
    <t>5.4 Criar view de mapa</t>
  </si>
  <si>
    <t>Localização das atividades</t>
  </si>
  <si>
    <t>5.5 Criar dashboard</t>
  </si>
  <si>
    <t>Charts com indicadores</t>
  </si>
  <si>
    <t>5.6 Configurar Format Rules</t>
  </si>
  <si>
    <t>Cores por status conforme especificado</t>
  </si>
  <si>
    <t>5.7 Configurar ícones e tema</t>
  </si>
  <si>
    <t>Cores Enel, ícones intuitivos</t>
  </si>
  <si>
    <t>6. AUTOMAÇÕES</t>
  </si>
  <si>
    <t>6.1 Criar bot de relatório quinzenal</t>
  </si>
  <si>
    <t>Workflow AppSheet ou Apps Script</t>
  </si>
  <si>
    <t>6.2 Criar bot de alerta pendências</t>
  </si>
  <si>
    <t>Notificação de vencimento</t>
  </si>
  <si>
    <t>6.3 Configurar organização de fotos</t>
  </si>
  <si>
    <t>Mover para pasta estruturada no Drive</t>
  </si>
  <si>
    <t>6.4 Configurar gatilhos (triggers)</t>
  </si>
  <si>
    <t>Time-based triggers no Apps Script</t>
  </si>
  <si>
    <t>7. TESTES</t>
  </si>
  <si>
    <t>7.1 Executar plano de testes</t>
  </si>
  <si>
    <t>40 casos de teste na aba PLANO_TESTES</t>
  </si>
  <si>
    <t>7.2 Testes em dispositivos reais</t>
  </si>
  <si>
    <t>Android e iOS</t>
  </si>
  <si>
    <t>7.3 Testes offline</t>
  </si>
  <si>
    <t>Criar e sincronizar sem internet</t>
  </si>
  <si>
    <t>7.4 Testes de carga</t>
  </si>
  <si>
    <t>100+ registros, múltiplos usuários</t>
  </si>
  <si>
    <t>7.5 Correção de bugs</t>
  </si>
  <si>
    <t>Ajustes identificados nos testes</t>
  </si>
  <si>
    <t>8. PUBLICAÇÃO</t>
  </si>
  <si>
    <t>8.1 Deploy do app</t>
  </si>
  <si>
    <t>Publicar versão de produção</t>
  </si>
  <si>
    <t>8.2 Gerar link de instalação</t>
  </si>
  <si>
    <t>Compartilhar com usuários</t>
  </si>
  <si>
    <t>8.3 Treinamento de usuários</t>
  </si>
  <si>
    <t>Apresentar manuais e funcionalidades</t>
  </si>
  <si>
    <t>8.4 Go-live</t>
  </si>
  <si>
    <t>Início da operação em produção</t>
  </si>
  <si>
    <t>ESTRUTURA DE PASTAS - GOOGLE DRIVE</t>
  </si>
  <si>
    <t>PASTA</t>
  </si>
  <si>
    <t>SUBPASTA</t>
  </si>
  <si>
    <t>CONTEÚDO</t>
  </si>
  <si>
    <t>PERMISSÃO</t>
  </si>
  <si>
    <t>📁 Registro_Atividades_Enel</t>
  </si>
  <si>
    <t>Pasta raiz do projeto</t>
  </si>
  <si>
    <t>Admin</t>
  </si>
  <si>
    <t>📁 Base_Dados</t>
  </si>
  <si>
    <t>Planilha Google Sheets principal</t>
  </si>
  <si>
    <t>📁 AppSheet</t>
  </si>
  <si>
    <t>Arquivos do aplicativo</t>
  </si>
  <si>
    <t>📁 Scripts</t>
  </si>
  <si>
    <t>Códigos Google Apps Script</t>
  </si>
  <si>
    <t>📁 Fotos_Atividades</t>
  </si>
  <si>
    <t>Fotos organizadas por período</t>
  </si>
  <si>
    <t>Gestor/Admin</t>
  </si>
  <si>
    <t xml:space="preserve">    📁 2026</t>
  </si>
  <si>
    <t xml:space="preserve">        📁 01-Janeiro</t>
  </si>
  <si>
    <t xml:space="preserve">            📁 ATV-2026-0001</t>
  </si>
  <si>
    <t>Fotos da atividade específica</t>
  </si>
  <si>
    <t xml:space="preserve">            📁 ATV-2026-0002</t>
  </si>
  <si>
    <t xml:space="preserve">        📁 02-Fevereiro</t>
  </si>
  <si>
    <t xml:space="preserve">        📁 ...</t>
  </si>
  <si>
    <t xml:space="preserve">    📁 2027</t>
  </si>
  <si>
    <t>📁 Relatorios</t>
  </si>
  <si>
    <t>Relatórios gerados</t>
  </si>
  <si>
    <t xml:space="preserve">    📁 Quinzenais</t>
  </si>
  <si>
    <t xml:space="preserve">        📁 2026</t>
  </si>
  <si>
    <t xml:space="preserve">            📁 01-Janeiro</t>
  </si>
  <si>
    <t xml:space="preserve">                📄 Relatorio_Q1_Jan_2026.pdf</t>
  </si>
  <si>
    <t>1ª quinzena Janeiro</t>
  </si>
  <si>
    <t xml:space="preserve">                📄 Relatorio_Q2_Jan_2026.pdf</t>
  </si>
  <si>
    <t>2ª quinzena Janeiro</t>
  </si>
  <si>
    <t xml:space="preserve">            📁 02-Fevereiro</t>
  </si>
  <si>
    <t xml:space="preserve">    📁 Mensais</t>
  </si>
  <si>
    <t xml:space="preserve">            📄 Relatorio_Mensal_Jan_2026.pdf</t>
  </si>
  <si>
    <t>Consolidado Janeiro</t>
  </si>
  <si>
    <t xml:space="preserve">            📄 Relatorio_Mensal_Fev_2026.pdf</t>
  </si>
  <si>
    <t>Consolidado Fevereiro</t>
  </si>
  <si>
    <t>📁 Templates</t>
  </si>
  <si>
    <t>Modelos de relatórios</t>
  </si>
  <si>
    <t>📁 Manuais</t>
  </si>
  <si>
    <t>Documentação e manuais</t>
  </si>
  <si>
    <t>📁 Backup</t>
  </si>
  <si>
    <t>Backups automáticos mensais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</si>
</sst>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1E4E79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 wrapText="1"/>
    </xf>
    <xf numFmtId="21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/>
    <xf numFmtId="0" fontId="3" fillId="0" borderId="0" xfId="0" applyFont="1" applyAlignment="1">
      <alignment horizontal="center"/>
    </xf>
    <xf numFmtId="0" fontId="1" fillId="3" borderId="0" xfId="0" applyFont="1" applyFill="1"/>
    <xf numFmtId="0" fontId="2" fillId="2" borderId="0" xfId="0" applyFont="1" applyFill="1"/>
    <xf numFmtId="0" fontId="1" fillId="4" borderId="0" xfId="0" applyFont="1" applyFill="1" applyBorder="1"/>
    <xf numFmtId="0" fontId="4" fillId="4" borderId="0" xfId="0" applyFont="1" applyFill="1" applyBorder="1" applyAlignment="1">
      <alignment horizontal="center"/>
    </xf>
    <xf numFmtId="0" fontId="1" fillId="4" borderId="1" xfId="0" applyFont="1" applyFill="1" applyBorder="1"/>
    <xf numFmtId="0" fontId="4" fillId="4" borderId="1" xfId="0" applyFont="1" applyFill="1" applyBorder="1" applyAlignment="1">
      <alignment horizontal="center"/>
    </xf>
    <xf numFmtId="165" fontId="0" fillId="0" borderId="0" xfId="0" applyNumberFormat="1"/>
    <xf numFmtId="0" fontId="5" fillId="2" borderId="0" xfId="0" applyFont="1" applyFill="1"/>
    <xf numFmtId="0" fontId="1" fillId="3" borderId="1" xfId="0" applyFont="1" applyFill="1" applyBorder="1"/>
    <xf numFmtId="0" fontId="0" fillId="0" borderId="2" xfId="0" applyBorder="1"/>
    <xf numFmtId="0" fontId="0" fillId="0" borderId="3" xfId="0" applyBorder="1"/>
    <xf numFmtId="0" fontId="6" fillId="2" borderId="0" xfId="0" applyFont="1" applyFill="1"/>
    <xf numFmtId="0" fontId="5" fillId="5" borderId="0" xfId="0" applyFont="1" applyFill="1"/>
    <xf numFmtId="0" fontId="1" fillId="6" borderId="0" xfId="0" applyFont="1" applyFill="1"/>
    <xf numFmtId="0" fontId="5" fillId="7" borderId="0" xfId="0" applyFont="1" applyFill="1"/>
    <xf numFmtId="0" fontId="5" fillId="8" borderId="0" xfId="0" applyFont="1" applyFill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E4E79"/>
        </patternFill>
      </fill>
      <alignment horizontal="center" vertical="bottom" textRotation="0" wrapText="0" indent="0" justifyLastLine="0" shrinkToFit="0" readingOrder="0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E4E79"/>
        </patternFill>
      </fill>
      <alignment horizontal="center" vertical="bottom" textRotation="0" wrapText="0" indent="0" justifyLastLine="0" shrinkToFit="0" readingOrder="0"/>
    </dxf>
    <dxf>
      <numFmt numFmtId="164" formatCode="yyyy\-mm\-dd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E4E79"/>
        </patternFill>
      </fill>
      <alignment horizontal="center" vertical="bottom" textRotation="0" wrapText="0" indent="0" justifyLastLine="0" shrinkToFit="0" readingOrder="0"/>
    </dxf>
    <dxf>
      <numFmt numFmtId="26" formatCode="hh:mm:ss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E4E7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E4E7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E4E79"/>
        </patternFill>
      </fill>
      <alignment horizontal="center" vertical="bottom" textRotation="0" wrapText="1" indent="0" justifyLastLine="0" shrinkToFit="0" readingOrder="0"/>
    </dxf>
    <dxf>
      <numFmt numFmtId="164" formatCode="yyyy\-mm\-dd"/>
    </dxf>
    <dxf>
      <numFmt numFmtId="19" formatCode="dd/mm/yyyy"/>
    </dxf>
    <dxf>
      <numFmt numFmtId="164" formatCode="yyyy\-mm\-dd"/>
    </dxf>
    <dxf>
      <numFmt numFmtId="26" formatCode="hh:mm:ss"/>
    </dxf>
    <dxf>
      <numFmt numFmtId="26" formatCode="hh:mm:ss"/>
    </dxf>
    <dxf>
      <numFmt numFmtId="26" formatCode="hh:mm:ss"/>
    </dxf>
    <dxf>
      <numFmt numFmtId="164" formatCode="yyyy\-mm\-dd"/>
    </dxf>
    <dxf>
      <numFmt numFmtId="26" formatCode="hh:mm:ss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E4E79"/>
        </patternFill>
      </fill>
      <alignment horizontal="center" vertical="bottom" textRotation="0" wrapText="0" indent="0" justifyLastLine="0" shrinkToFit="0" readingOrder="0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BDECD-03B8-4C88-BCB9-A63FE9ACFE16}" name="TBL_USUARIOS" displayName="TBL_USUARIOS" ref="A1:J4" totalsRowShown="0" headerRowDxfId="21">
  <autoFilter ref="A1:J4" xr:uid="{216BDECD-03B8-4C88-BCB9-A63FE9ACFE16}"/>
  <tableColumns count="10">
    <tableColumn id="1" xr3:uid="{5882AD76-AB16-41F6-B31E-62E871EC03A7}" name="ID_USUARIO"/>
    <tableColumn id="2" xr3:uid="{742B71A8-3527-4B78-B780-0D79C55FE63C}" name="NOME_COMPLETO"/>
    <tableColumn id="3" xr3:uid="{FDAE2CA9-629E-4CD9-B5BA-FA971F07105C}" name="EMAIL"/>
    <tableColumn id="4" xr3:uid="{97FBD1F6-05F1-4819-B862-D61C80EC62E9}" name="MATRICULA"/>
    <tableColumn id="5" xr3:uid="{5D8C1E79-C89B-4585-8D6B-D2C045ED83E9}" name="FUNCAO"/>
    <tableColumn id="6" xr3:uid="{62B82DA0-9433-489D-8B24-13EDF32E5734}" name="PERFIL_ACESSO"/>
    <tableColumn id="7" xr3:uid="{4BA8C940-2BD8-4F67-9FF1-C394F5E645C7}" name="REGIAO"/>
    <tableColumn id="8" xr3:uid="{FD6570CA-8C98-40B9-90C3-EED3BEAC10E5}" name="POLO"/>
    <tableColumn id="9" xr3:uid="{BB324A53-52C7-4857-BA84-2581D0BA7D3B}" name="STATUS_USUARIO"/>
    <tableColumn id="10" xr3:uid="{46A2E1F1-EB5B-40CD-800D-671B322D6276}" name="DATA_CADASTRO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9B7679-C3B8-477D-9BD5-02894A62AAA9}" name="TBL_REGISTROS_ATIVIDADES" displayName="TBL_REGISTROS_ATIVIDADES" ref="A1:AS3" totalsRowShown="0" headerRowDxfId="11">
  <autoFilter ref="A1:AS3" xr:uid="{EC9B7679-C3B8-477D-9BD5-02894A62AAA9}"/>
  <tableColumns count="45">
    <tableColumn id="1" xr3:uid="{E7B804BE-106F-4EF0-88E2-B70F8FF9BF60}" name="ID_ATIVIDADE"/>
    <tableColumn id="2" xr3:uid="{AC63BDB7-89BD-4EFE-9CD4-A807D1311776}" name="DATA_CRIACAO" dataDxfId="20"/>
    <tableColumn id="3" xr3:uid="{B5B94435-175A-4ECC-80E0-9E7D8776941E}" name="HORA_CRIACAO" dataDxfId="19"/>
    <tableColumn id="4" xr3:uid="{74D9024A-B616-4D98-B2E9-D0B816F693D1}" name="DATA_ATIVIDADE" dataDxfId="18"/>
    <tableColumn id="5" xr3:uid="{65340C3E-25DA-4F18-97E1-5060F04F415C}" name="HORA_INICIO" dataDxfId="17"/>
    <tableColumn id="6" xr3:uid="{974E26D6-D7D9-4C53-B287-DA2D836A7605}" name="HORA_TERMINO" dataDxfId="16"/>
    <tableColumn id="7" xr3:uid="{1A710056-2C37-40A2-8306-78CD5D2FCD36}" name="DURACAO_ATIVIDADE" dataDxfId="15"/>
    <tableColumn id="8" xr3:uid="{76CA6467-B6F3-42CA-88B3-04A9EC2C6E28}" name="EMAIL_USUARIO"/>
    <tableColumn id="9" xr3:uid="{D1D8F63E-E597-46BC-8302-7FEF90B9EC87}" name="ID_TECNICO"/>
    <tableColumn id="10" xr3:uid="{BCF084CA-F467-4FF1-955E-0E6CB44F7675}" name="NOME_TECNICO_ENEL"/>
    <tableColumn id="11" xr3:uid="{4E793DE6-5A98-471E-871E-64CD838ADFFA}" name="MATRICULA_TECNICO"/>
    <tableColumn id="12" xr3:uid="{FF4A2C74-3E0E-4811-AC05-D7BCD9AD5095}" name="REGIAO"/>
    <tableColumn id="13" xr3:uid="{4D00CD94-B213-43F7-A22A-0B82A50ADD4F}" name="POLO"/>
    <tableColumn id="14" xr3:uid="{590401EA-52AC-4FBF-BA0D-DF03E77480C0}" name="TIPO_ATIVIDADE"/>
    <tableColumn id="15" xr3:uid="{9562E8E4-EEF7-431E-88E2-3AEB1DD71615}" name="OUTRO_TIPO_ATIVIDADE"/>
    <tableColumn id="16" xr3:uid="{EA56296F-D981-415B-88CC-DAC27A014176}" name="ID_PARCEIRA"/>
    <tableColumn id="17" xr3:uid="{234AC8A4-6F27-4744-BCCE-5C8C46236BB8}" name="NOME_PARCEIRA"/>
    <tableColumn id="18" xr3:uid="{3D7D0FC6-E6A7-4653-BEE0-DCD54AC7AFAB}" name="NUMERO_CONTRATO"/>
    <tableColumn id="19" xr3:uid="{E79CF749-D3D9-4598-BFC8-301D8FE9A3EE}" name="NUMERO_PROJETO"/>
    <tableColumn id="20" xr3:uid="{6EFBB947-EF92-4A83-8149-41F22D0A325E}" name="NUMERO_OS"/>
    <tableColumn id="21" xr3:uid="{74047CA3-9BCF-4C69-A665-B63CD007B90B}" name="CIRCUITO"/>
    <tableColumn id="22" xr3:uid="{33B66411-95D3-44C1-9F6C-3FD81B1ED4CD}" name="TIPO_INTERVENCAO"/>
    <tableColumn id="23" xr3:uid="{B4EECAFB-5C37-4E43-AB2D-67BEE14D02DA}" name="LOCALIZACAO_GPS"/>
    <tableColumn id="24" xr3:uid="{91E4C567-2659-4F99-B622-97C0CE3306D9}" name="LATITUDE"/>
    <tableColumn id="25" xr3:uid="{6B4F2870-340A-461D-BBBE-9D07E0FD88B3}" name="LONGITUDE"/>
    <tableColumn id="26" xr3:uid="{8C5DC23B-F463-4423-8B83-4A821BA28714}" name="ENDERECO"/>
    <tableColumn id="27" xr3:uid="{8E076122-0694-4EE3-B5FD-198FD8C6DA8D}" name="MUNICIPIO"/>
    <tableColumn id="28" xr3:uid="{2CF464C6-D94A-400E-8284-60CBA9D3DF28}" name="DESCRICAO_ATIVIDADE"/>
    <tableColumn id="29" xr3:uid="{A004027A-1773-484B-A4CD-1E33EFCB030C}" name="SITUACAO_ENCONTRADA"/>
    <tableColumn id="30" xr3:uid="{CE807748-CF8E-48DB-9DC7-269CD78B4EE8}" name="ACAO_REALIZADA"/>
    <tableColumn id="31" xr3:uid="{D610FE18-A105-44A4-B3E9-65D690387D32}" name="RESULTADO_ATIVIDADE"/>
    <tableColumn id="32" xr3:uid="{7EDA1A8C-63F0-47F2-B4E6-9D796CCE59B7}" name="EXISTE_NAO_CONFORMIDADE"/>
    <tableColumn id="33" xr3:uid="{A21248DF-4645-4A7E-9734-751D50F4B5E1}" name="DESCRICAO_NAO_CONFORMIDADE"/>
    <tableColumn id="34" xr3:uid="{CB8A005E-DF7A-4815-A22D-2E8316949219}" name="EXISTE_PENDENCIA"/>
    <tableColumn id="35" xr3:uid="{91B448C2-C767-46DA-B402-8217F0E42071}" name="DESCRICAO_PENDENCIA"/>
    <tableColumn id="36" xr3:uid="{AA252FE6-C7EE-4601-A555-45988918919B}" name="RESPONSAVEL_PENDENCIA"/>
    <tableColumn id="37" xr3:uid="{92CA71ED-D287-40B7-9BD5-D330DF7F32B5}" name="PRAZO_PENDENCIA" dataDxfId="14"/>
    <tableColumn id="38" xr3:uid="{BD607F37-1197-406C-9788-55449F82AF8D}" name="PRIORIDADE"/>
    <tableColumn id="39" xr3:uid="{4B04167C-8FDD-4BA9-ABAB-1244C6CE71E3}" name="STATUS_ATIVIDADE"/>
    <tableColumn id="40" xr3:uid="{5986157D-4AFC-4677-8676-1271EDF6AAF0}" name="QUANTIDADE_FOTOS"/>
    <tableColumn id="41" xr3:uid="{C488AAE0-DC02-4564-B23B-50F0743EACE6}" name="LINK_MAPA"/>
    <tableColumn id="42" xr3:uid="{54933353-8375-4236-9587-4BAC182CB352}" name="DATA_ULTIMA_ALTERACAO" dataDxfId="13"/>
    <tableColumn id="43" xr3:uid="{6A03ED6A-B9C0-4563-9F18-EAC0ED049E16}" name="USUARIO_ULTIMA_ALTERACAO" dataDxfId="12"/>
    <tableColumn id="44" xr3:uid="{46DB7D4C-CA67-4461-B98E-52C3D0F8C129}" name="STATUS_SINCRONIZACAO"/>
    <tableColumn id="45" xr3:uid="{DE010C28-AD7E-4978-A9D2-49093473FA5A}" name="OBSERVACO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E019FB-EBA6-47F5-A97E-0BAB7C84A635}" name="TBL_TIPOS_ATIVIDADE" displayName="TBL_TIPOS_ATIVIDADE" ref="A1:H18" totalsRowShown="0" headerRowDxfId="10">
  <autoFilter ref="A1:H18" xr:uid="{52E019FB-EBA6-47F5-A97E-0BAB7C84A635}"/>
  <tableColumns count="8">
    <tableColumn id="1" xr3:uid="{79796C3E-820B-47F1-AE68-B30F927D0D63}" name="ID_TIPO"/>
    <tableColumn id="2" xr3:uid="{613AE806-D2CD-46D3-B9A1-AAB05DE76840}" name="NOME_TIPO_ATIVIDADE"/>
    <tableColumn id="3" xr3:uid="{F74E5DC6-95BA-415C-9C98-F38F7697335A}" name="DESCRICAO"/>
    <tableColumn id="4" xr3:uid="{4265DA7E-CF26-4D28-8B54-60DC03799D51}" name="EXIGE_FOTO"/>
    <tableColumn id="5" xr3:uid="{AEFD9E87-66F3-47D7-8A6D-B1A7A5932121}" name="EXIGE_LOCALIZACAO"/>
    <tableColumn id="6" xr3:uid="{F9B86D71-1F45-4653-A5AE-2BE0FEEA7C0D}" name="CATEGORIA"/>
    <tableColumn id="7" xr3:uid="{4B1049AC-20E9-44BD-ADD0-507E1FE8BC93}" name="STATUS_TIPO"/>
    <tableColumn id="8" xr3:uid="{380020C0-956D-4EF7-963C-33FDA5A003D1}" name="ORDEM_EXIBI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0AFD33-4385-411A-A50A-7A80FA915BBD}" name="TBL_PARCEIRAS" displayName="TBL_PARCEIRAS" ref="A1:H7" totalsRowShown="0" headerRowDxfId="9">
  <autoFilter ref="A1:H7" xr:uid="{D20AFD33-4385-411A-A50A-7A80FA915BBD}"/>
  <tableColumns count="8">
    <tableColumn id="1" xr3:uid="{769F9616-249D-4B03-BDB9-9E4517CC741B}" name="ID_PARCEIRA"/>
    <tableColumn id="2" xr3:uid="{08452109-3993-4C38-BBB7-22A87DC3A783}" name="NOME_PARCEIRA"/>
    <tableColumn id="3" xr3:uid="{913FA234-3BB9-400D-A905-B763D6D4F57A}" name="NUMERO_CONTRATO"/>
    <tableColumn id="4" xr3:uid="{2EE60DFF-0929-4344-8CC3-0D7CD81A54D4}" name="RESPONSAVEL"/>
    <tableColumn id="5" xr3:uid="{3B7D06DD-8DB0-4201-BBE4-25D7AA453534}" name="TELEFONE"/>
    <tableColumn id="6" xr3:uid="{8DAF5ADF-22A2-41AF-82FD-18C075D0B988}" name="EMAIL"/>
    <tableColumn id="7" xr3:uid="{9273B13D-4F61-4E41-88D9-5AA83EFF2F95}" name="REGIAO_ATENDIDA"/>
    <tableColumn id="8" xr3:uid="{09DE36E9-7685-4B26-AB92-C2C2D6C45FC5}" name="STATUS_PARCEIR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25B11C-3928-41A5-9D5C-350D2779DBB8}" name="TBL_FOTOS_ATIVIDADES" displayName="TBL_FOTOS_ATIVIDADES" ref="A1:J9" totalsRowShown="0" headerRowDxfId="6">
  <autoFilter ref="A1:J9" xr:uid="{E525B11C-3928-41A5-9D5C-350D2779DBB8}"/>
  <tableColumns count="10">
    <tableColumn id="1" xr3:uid="{3845E996-BEC3-4B55-90CD-1037D79FFA0D}" name="ID_FOTO"/>
    <tableColumn id="2" xr3:uid="{AA75390F-F24C-4353-A8A5-73704C27FC3C}" name="ID_ATIVIDADE"/>
    <tableColumn id="3" xr3:uid="{749B31AF-BC23-40DA-8905-D6001CED7A48}" name="FOTO"/>
    <tableColumn id="4" xr3:uid="{B8C96B52-2991-45F6-A194-CEBE8F8F46ED}" name="LEGENDA_FOTO"/>
    <tableColumn id="5" xr3:uid="{4DDB3ACA-948C-4A0A-A215-7B1AC37FA054}" name="TIPO_EVIDENCIA"/>
    <tableColumn id="6" xr3:uid="{53484546-AF4C-4E8B-9822-0B2C2B2CF064}" name="DATA_FOTO" dataDxfId="8"/>
    <tableColumn id="7" xr3:uid="{0FB2E011-E930-49D0-8734-D1345609F202}" name="HORA_FOTO" dataDxfId="7"/>
    <tableColumn id="8" xr3:uid="{3FD45048-B3F6-4713-A102-B5E78D4F067D}" name="LOCALIZACAO_FOTO"/>
    <tableColumn id="9" xr3:uid="{F7E2452B-8643-4247-BB1F-AF2063C606CD}" name="USUARIO_RESPONSAVEL"/>
    <tableColumn id="10" xr3:uid="{590265C7-52D0-4420-A076-07D792559869}" name="LINK_ARQUIV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9216EA-B43F-4D77-BCD6-6B30B2ACD1A2}" name="TBL_ACOES_PENDENCIAS" displayName="TBL_ACOES_PENDENCIAS" ref="A1:M3" totalsRowShown="0" headerRowDxfId="2">
  <autoFilter ref="A1:M3" xr:uid="{819216EA-B43F-4D77-BCD6-6B30B2ACD1A2}"/>
  <tableColumns count="13">
    <tableColumn id="1" xr3:uid="{D51B7550-DA0B-4A8D-A77F-48B980CD9DAB}" name="ID_ACAO"/>
    <tableColumn id="2" xr3:uid="{444A87B3-CDB3-44BC-9B8F-DDE56E8A560C}" name="ID_ATIVIDADE"/>
    <tableColumn id="3" xr3:uid="{53E63D74-DDCF-4CD7-9014-4FD0BB8069C6}" name="TIPO_ACAO"/>
    <tableColumn id="4" xr3:uid="{34E0D42D-2DD6-49A3-98C4-4933C2569263}" name="DESCRICAO_ACAO"/>
    <tableColumn id="5" xr3:uid="{C2940517-6CD7-498A-B033-012E25088322}" name="RESPONSAVEL"/>
    <tableColumn id="6" xr3:uid="{2396A7D1-8E65-4839-89BD-DE514EBFE3DD}" name="EMPRESA_RESPONSAVEL"/>
    <tableColumn id="7" xr3:uid="{A9141C17-4DBB-46CB-8CF0-5A3B9AAFEEA6}" name="DATA_ABERTURA" dataDxfId="5"/>
    <tableColumn id="8" xr3:uid="{91762F98-6EC8-4A28-A174-C01F5F77956B}" name="PRAZO" dataDxfId="4"/>
    <tableColumn id="9" xr3:uid="{E792B8EF-677C-443B-AB04-B4F14ED272F6}" name="PRIORIDADE"/>
    <tableColumn id="10" xr3:uid="{5AD2B041-530F-4178-AE33-ACB183CD7431}" name="STATUS_ACAO"/>
    <tableColumn id="11" xr3:uid="{E8E24536-FC50-4BE3-B599-5396F7BDFF56}" name="DATA_CONCLUSAO" dataDxfId="3"/>
    <tableColumn id="12" xr3:uid="{DC4CF23F-4405-473A-A009-4BB92001A27B}" name="COMPROVACAO_CONCLUSAO"/>
    <tableColumn id="13" xr3:uid="{6BB9D778-0D7D-4C53-84BA-4B7538EA487B}" name="OBSERVACO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D8A5A4-3A81-4918-B6D8-E82FC91D6313}" name="TBL_LOG_ALTERACOES" displayName="TBL_LOG_ALTERACOES" ref="A1:H6" totalsRowShown="0" headerRowDxfId="0">
  <autoFilter ref="A1:H6" xr:uid="{1DD8A5A4-3A81-4918-B6D8-E82FC91D6313}"/>
  <tableColumns count="8">
    <tableColumn id="1" xr3:uid="{74718CD3-6B1D-464F-9A1F-725EF0CD08CB}" name="ID_LOG"/>
    <tableColumn id="2" xr3:uid="{7EED9C40-7D30-49A6-98CB-8349458D6E60}" name="ID_ATIVIDADE"/>
    <tableColumn id="3" xr3:uid="{35495DC4-997E-4B7B-83B1-AC4FD73314CD}" name="DATA_HORA" dataDxfId="1"/>
    <tableColumn id="4" xr3:uid="{038A7A65-99E3-4DAC-9BB3-F9807C5DC27F}" name="EMAIL_USUARIO"/>
    <tableColumn id="5" xr3:uid="{2B0B5186-F7CB-4A8F-8CF2-72ACDE0FE5DE}" name="TIPO_OPERACAO"/>
    <tableColumn id="6" xr3:uid="{85859E45-CE2F-46D3-B549-20C42C152D24}" name="CAMPO_ALTERADO"/>
    <tableColumn id="7" xr3:uid="{CB9EEB58-8E67-4090-A1E0-F39998994290}" name="VALOR_ANTERIOR"/>
    <tableColumn id="8" xr3:uid="{3F984CA9-ACED-4842-920D-B67E7B0313BC}" name="VALOR_NOV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5B67-51EF-44F9-807D-B1D954D71FC5}">
  <dimension ref="A1:J1000"/>
  <sheetViews>
    <sheetView workbookViewId="0"/>
  </sheetViews>
  <sheetFormatPr defaultRowHeight="14.5" x14ac:dyDescent="0.35"/>
  <cols>
    <col min="1" max="1" width="13.1796875" customWidth="1"/>
    <col min="2" max="2" width="17.81640625" customWidth="1"/>
    <col min="3" max="3" width="21.54296875" bestFit="1" customWidth="1"/>
    <col min="4" max="4" width="12.54296875" customWidth="1"/>
    <col min="5" max="5" width="23.26953125" bestFit="1" customWidth="1"/>
    <col min="6" max="6" width="17.26953125" bestFit="1" customWidth="1"/>
    <col min="7" max="7" width="11.08984375" bestFit="1" customWidth="1"/>
    <col min="8" max="8" width="10.26953125" bestFit="1" customWidth="1"/>
    <col min="9" max="9" width="17.7265625" customWidth="1"/>
    <col min="10" max="10" width="17.179687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5">
        <v>46037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18</v>
      </c>
      <c r="J3" s="5">
        <v>46032</v>
      </c>
    </row>
    <row r="4" spans="1:10" x14ac:dyDescent="0.3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 s="5">
        <v>46027</v>
      </c>
    </row>
    <row r="5" spans="1:10" x14ac:dyDescent="0.35">
      <c r="J5" s="5"/>
    </row>
    <row r="6" spans="1:10" x14ac:dyDescent="0.35">
      <c r="J6" s="5"/>
    </row>
    <row r="7" spans="1:10" x14ac:dyDescent="0.35">
      <c r="J7" s="5"/>
    </row>
    <row r="8" spans="1:10" x14ac:dyDescent="0.35">
      <c r="J8" s="5"/>
    </row>
    <row r="9" spans="1:10" x14ac:dyDescent="0.35">
      <c r="J9" s="5"/>
    </row>
    <row r="10" spans="1:10" x14ac:dyDescent="0.35">
      <c r="J10" s="5"/>
    </row>
    <row r="11" spans="1:10" x14ac:dyDescent="0.35">
      <c r="J11" s="5"/>
    </row>
    <row r="12" spans="1:10" x14ac:dyDescent="0.35">
      <c r="J12" s="5"/>
    </row>
    <row r="13" spans="1:10" x14ac:dyDescent="0.35">
      <c r="J13" s="5"/>
    </row>
    <row r="14" spans="1:10" x14ac:dyDescent="0.35">
      <c r="J14" s="5"/>
    </row>
    <row r="15" spans="1:10" x14ac:dyDescent="0.35">
      <c r="J15" s="5"/>
    </row>
    <row r="16" spans="1:10" x14ac:dyDescent="0.35">
      <c r="J16" s="5"/>
    </row>
    <row r="17" spans="10:10" x14ac:dyDescent="0.35">
      <c r="J17" s="5"/>
    </row>
    <row r="18" spans="10:10" x14ac:dyDescent="0.35">
      <c r="J18" s="5"/>
    </row>
    <row r="19" spans="10:10" x14ac:dyDescent="0.35">
      <c r="J19" s="5"/>
    </row>
    <row r="20" spans="10:10" x14ac:dyDescent="0.35">
      <c r="J20" s="5"/>
    </row>
    <row r="21" spans="10:10" x14ac:dyDescent="0.35">
      <c r="J21" s="5"/>
    </row>
    <row r="22" spans="10:10" x14ac:dyDescent="0.35">
      <c r="J22" s="5"/>
    </row>
    <row r="23" spans="10:10" x14ac:dyDescent="0.35">
      <c r="J23" s="5"/>
    </row>
    <row r="24" spans="10:10" x14ac:dyDescent="0.35">
      <c r="J24" s="5"/>
    </row>
    <row r="25" spans="10:10" x14ac:dyDescent="0.35">
      <c r="J25" s="5"/>
    </row>
    <row r="26" spans="10:10" x14ac:dyDescent="0.35">
      <c r="J26" s="5"/>
    </row>
    <row r="27" spans="10:10" x14ac:dyDescent="0.35">
      <c r="J27" s="5"/>
    </row>
    <row r="28" spans="10:10" x14ac:dyDescent="0.35">
      <c r="J28" s="5"/>
    </row>
    <row r="29" spans="10:10" x14ac:dyDescent="0.35">
      <c r="J29" s="5"/>
    </row>
    <row r="30" spans="10:10" x14ac:dyDescent="0.35">
      <c r="J30" s="5"/>
    </row>
    <row r="31" spans="10:10" x14ac:dyDescent="0.35">
      <c r="J31" s="5"/>
    </row>
    <row r="32" spans="10:10" x14ac:dyDescent="0.35">
      <c r="J32" s="5"/>
    </row>
    <row r="33" spans="10:10" x14ac:dyDescent="0.35">
      <c r="J33" s="5"/>
    </row>
    <row r="34" spans="10:10" x14ac:dyDescent="0.35">
      <c r="J34" s="5"/>
    </row>
    <row r="35" spans="10:10" x14ac:dyDescent="0.35">
      <c r="J35" s="5"/>
    </row>
    <row r="36" spans="10:10" x14ac:dyDescent="0.35">
      <c r="J36" s="5"/>
    </row>
    <row r="37" spans="10:10" x14ac:dyDescent="0.35">
      <c r="J37" s="5"/>
    </row>
    <row r="38" spans="10:10" x14ac:dyDescent="0.35">
      <c r="J38" s="5"/>
    </row>
    <row r="39" spans="10:10" x14ac:dyDescent="0.35">
      <c r="J39" s="5"/>
    </row>
    <row r="40" spans="10:10" x14ac:dyDescent="0.35">
      <c r="J40" s="5"/>
    </row>
    <row r="41" spans="10:10" x14ac:dyDescent="0.35">
      <c r="J41" s="5"/>
    </row>
    <row r="42" spans="10:10" x14ac:dyDescent="0.35">
      <c r="J42" s="5"/>
    </row>
    <row r="43" spans="10:10" x14ac:dyDescent="0.35">
      <c r="J43" s="5"/>
    </row>
    <row r="44" spans="10:10" x14ac:dyDescent="0.35">
      <c r="J44" s="5"/>
    </row>
    <row r="45" spans="10:10" x14ac:dyDescent="0.35">
      <c r="J45" s="5"/>
    </row>
    <row r="46" spans="10:10" x14ac:dyDescent="0.35">
      <c r="J46" s="5"/>
    </row>
    <row r="47" spans="10:10" x14ac:dyDescent="0.35">
      <c r="J47" s="5"/>
    </row>
    <row r="48" spans="10:10" x14ac:dyDescent="0.35">
      <c r="J48" s="5"/>
    </row>
    <row r="49" spans="10:10" x14ac:dyDescent="0.35">
      <c r="J49" s="5"/>
    </row>
    <row r="50" spans="10:10" x14ac:dyDescent="0.35">
      <c r="J50" s="5"/>
    </row>
    <row r="51" spans="10:10" x14ac:dyDescent="0.35">
      <c r="J51" s="5"/>
    </row>
    <row r="52" spans="10:10" x14ac:dyDescent="0.35">
      <c r="J52" s="5"/>
    </row>
    <row r="53" spans="10:10" x14ac:dyDescent="0.35">
      <c r="J53" s="5"/>
    </row>
    <row r="54" spans="10:10" x14ac:dyDescent="0.35">
      <c r="J54" s="5"/>
    </row>
    <row r="55" spans="10:10" x14ac:dyDescent="0.35">
      <c r="J55" s="5"/>
    </row>
    <row r="56" spans="10:10" x14ac:dyDescent="0.35">
      <c r="J56" s="5"/>
    </row>
    <row r="57" spans="10:10" x14ac:dyDescent="0.35">
      <c r="J57" s="5"/>
    </row>
    <row r="58" spans="10:10" x14ac:dyDescent="0.35">
      <c r="J58" s="5"/>
    </row>
    <row r="59" spans="10:10" x14ac:dyDescent="0.35">
      <c r="J59" s="5"/>
    </row>
    <row r="60" spans="10:10" x14ac:dyDescent="0.35">
      <c r="J60" s="5"/>
    </row>
    <row r="61" spans="10:10" x14ac:dyDescent="0.35">
      <c r="J61" s="5"/>
    </row>
    <row r="62" spans="10:10" x14ac:dyDescent="0.35">
      <c r="J62" s="5"/>
    </row>
    <row r="63" spans="10:10" x14ac:dyDescent="0.35">
      <c r="J63" s="5"/>
    </row>
    <row r="64" spans="10:10" x14ac:dyDescent="0.35">
      <c r="J64" s="5"/>
    </row>
    <row r="65" spans="10:10" x14ac:dyDescent="0.35">
      <c r="J65" s="5"/>
    </row>
    <row r="66" spans="10:10" x14ac:dyDescent="0.35">
      <c r="J66" s="5"/>
    </row>
    <row r="67" spans="10:10" x14ac:dyDescent="0.35">
      <c r="J67" s="5"/>
    </row>
    <row r="68" spans="10:10" x14ac:dyDescent="0.35">
      <c r="J68" s="5"/>
    </row>
    <row r="69" spans="10:10" x14ac:dyDescent="0.35">
      <c r="J69" s="5"/>
    </row>
    <row r="70" spans="10:10" x14ac:dyDescent="0.35">
      <c r="J70" s="5"/>
    </row>
    <row r="71" spans="10:10" x14ac:dyDescent="0.35">
      <c r="J71" s="5"/>
    </row>
    <row r="72" spans="10:10" x14ac:dyDescent="0.35">
      <c r="J72" s="5"/>
    </row>
    <row r="73" spans="10:10" x14ac:dyDescent="0.35">
      <c r="J73" s="5"/>
    </row>
    <row r="74" spans="10:10" x14ac:dyDescent="0.35">
      <c r="J74" s="5"/>
    </row>
    <row r="75" spans="10:10" x14ac:dyDescent="0.35">
      <c r="J75" s="5"/>
    </row>
    <row r="76" spans="10:10" x14ac:dyDescent="0.35">
      <c r="J76" s="5"/>
    </row>
    <row r="77" spans="10:10" x14ac:dyDescent="0.35">
      <c r="J77" s="5"/>
    </row>
    <row r="78" spans="10:10" x14ac:dyDescent="0.35">
      <c r="J78" s="5"/>
    </row>
    <row r="79" spans="10:10" x14ac:dyDescent="0.35">
      <c r="J79" s="5"/>
    </row>
    <row r="80" spans="10:10" x14ac:dyDescent="0.35">
      <c r="J80" s="5"/>
    </row>
    <row r="81" spans="10:10" x14ac:dyDescent="0.35">
      <c r="J81" s="5"/>
    </row>
    <row r="82" spans="10:10" x14ac:dyDescent="0.35">
      <c r="J82" s="5"/>
    </row>
    <row r="83" spans="10:10" x14ac:dyDescent="0.35">
      <c r="J83" s="5"/>
    </row>
    <row r="84" spans="10:10" x14ac:dyDescent="0.35">
      <c r="J84" s="5"/>
    </row>
    <row r="85" spans="10:10" x14ac:dyDescent="0.35">
      <c r="J85" s="5"/>
    </row>
    <row r="86" spans="10:10" x14ac:dyDescent="0.35">
      <c r="J86" s="5"/>
    </row>
    <row r="87" spans="10:10" x14ac:dyDescent="0.35">
      <c r="J87" s="5"/>
    </row>
    <row r="88" spans="10:10" x14ac:dyDescent="0.35">
      <c r="J88" s="5"/>
    </row>
    <row r="89" spans="10:10" x14ac:dyDescent="0.35">
      <c r="J89" s="5"/>
    </row>
    <row r="90" spans="10:10" x14ac:dyDescent="0.35">
      <c r="J90" s="5"/>
    </row>
    <row r="91" spans="10:10" x14ac:dyDescent="0.35">
      <c r="J91" s="5"/>
    </row>
    <row r="92" spans="10:10" x14ac:dyDescent="0.35">
      <c r="J92" s="5"/>
    </row>
    <row r="93" spans="10:10" x14ac:dyDescent="0.35">
      <c r="J93" s="5"/>
    </row>
    <row r="94" spans="10:10" x14ac:dyDescent="0.35">
      <c r="J94" s="5"/>
    </row>
    <row r="95" spans="10:10" x14ac:dyDescent="0.35">
      <c r="J95" s="5"/>
    </row>
    <row r="96" spans="10:10" x14ac:dyDescent="0.35">
      <c r="J96" s="5"/>
    </row>
    <row r="97" spans="10:10" x14ac:dyDescent="0.35">
      <c r="J97" s="5"/>
    </row>
    <row r="98" spans="10:10" x14ac:dyDescent="0.35">
      <c r="J98" s="5"/>
    </row>
    <row r="99" spans="10:10" x14ac:dyDescent="0.35">
      <c r="J99" s="5"/>
    </row>
    <row r="100" spans="10:10" x14ac:dyDescent="0.35">
      <c r="J100" s="5"/>
    </row>
    <row r="101" spans="10:10" x14ac:dyDescent="0.35">
      <c r="J101" s="5"/>
    </row>
    <row r="102" spans="10:10" x14ac:dyDescent="0.35">
      <c r="J102" s="5"/>
    </row>
    <row r="103" spans="10:10" x14ac:dyDescent="0.35">
      <c r="J103" s="5"/>
    </row>
    <row r="104" spans="10:10" x14ac:dyDescent="0.35">
      <c r="J104" s="5"/>
    </row>
    <row r="105" spans="10:10" x14ac:dyDescent="0.35">
      <c r="J105" s="5"/>
    </row>
    <row r="106" spans="10:10" x14ac:dyDescent="0.35">
      <c r="J106" s="5"/>
    </row>
    <row r="107" spans="10:10" x14ac:dyDescent="0.35">
      <c r="J107" s="5"/>
    </row>
    <row r="108" spans="10:10" x14ac:dyDescent="0.35">
      <c r="J108" s="5"/>
    </row>
    <row r="109" spans="10:10" x14ac:dyDescent="0.35">
      <c r="J109" s="5"/>
    </row>
    <row r="110" spans="10:10" x14ac:dyDescent="0.35">
      <c r="J110" s="5"/>
    </row>
    <row r="111" spans="10:10" x14ac:dyDescent="0.35">
      <c r="J111" s="5"/>
    </row>
    <row r="112" spans="10:10" x14ac:dyDescent="0.35">
      <c r="J112" s="5"/>
    </row>
    <row r="113" spans="10:10" x14ac:dyDescent="0.35">
      <c r="J113" s="5"/>
    </row>
    <row r="114" spans="10:10" x14ac:dyDescent="0.35">
      <c r="J114" s="5"/>
    </row>
    <row r="115" spans="10:10" x14ac:dyDescent="0.35">
      <c r="J115" s="5"/>
    </row>
    <row r="116" spans="10:10" x14ac:dyDescent="0.35">
      <c r="J116" s="5"/>
    </row>
    <row r="117" spans="10:10" x14ac:dyDescent="0.35">
      <c r="J117" s="5"/>
    </row>
    <row r="118" spans="10:10" x14ac:dyDescent="0.35">
      <c r="J118" s="5"/>
    </row>
    <row r="119" spans="10:10" x14ac:dyDescent="0.35">
      <c r="J119" s="5"/>
    </row>
    <row r="120" spans="10:10" x14ac:dyDescent="0.35">
      <c r="J120" s="5"/>
    </row>
    <row r="121" spans="10:10" x14ac:dyDescent="0.35">
      <c r="J121" s="5"/>
    </row>
    <row r="122" spans="10:10" x14ac:dyDescent="0.35">
      <c r="J122" s="5"/>
    </row>
    <row r="123" spans="10:10" x14ac:dyDescent="0.35">
      <c r="J123" s="5"/>
    </row>
    <row r="124" spans="10:10" x14ac:dyDescent="0.35">
      <c r="J124" s="5"/>
    </row>
    <row r="125" spans="10:10" x14ac:dyDescent="0.35">
      <c r="J125" s="5"/>
    </row>
    <row r="126" spans="10:10" x14ac:dyDescent="0.35">
      <c r="J126" s="5"/>
    </row>
    <row r="127" spans="10:10" x14ac:dyDescent="0.35">
      <c r="J127" s="5"/>
    </row>
    <row r="128" spans="10:10" x14ac:dyDescent="0.35">
      <c r="J128" s="5"/>
    </row>
    <row r="129" spans="10:10" x14ac:dyDescent="0.35">
      <c r="J129" s="5"/>
    </row>
    <row r="130" spans="10:10" x14ac:dyDescent="0.35">
      <c r="J130" s="5"/>
    </row>
    <row r="131" spans="10:10" x14ac:dyDescent="0.35">
      <c r="J131" s="5"/>
    </row>
    <row r="132" spans="10:10" x14ac:dyDescent="0.35">
      <c r="J132" s="5"/>
    </row>
    <row r="133" spans="10:10" x14ac:dyDescent="0.35">
      <c r="J133" s="5"/>
    </row>
    <row r="134" spans="10:10" x14ac:dyDescent="0.35">
      <c r="J134" s="5"/>
    </row>
    <row r="135" spans="10:10" x14ac:dyDescent="0.35">
      <c r="J135" s="5"/>
    </row>
    <row r="136" spans="10:10" x14ac:dyDescent="0.35">
      <c r="J136" s="5"/>
    </row>
    <row r="137" spans="10:10" x14ac:dyDescent="0.35">
      <c r="J137" s="5"/>
    </row>
    <row r="138" spans="10:10" x14ac:dyDescent="0.35">
      <c r="J138" s="5"/>
    </row>
    <row r="139" spans="10:10" x14ac:dyDescent="0.35">
      <c r="J139" s="5"/>
    </row>
    <row r="140" spans="10:10" x14ac:dyDescent="0.35">
      <c r="J140" s="5"/>
    </row>
    <row r="141" spans="10:10" x14ac:dyDescent="0.35">
      <c r="J141" s="5"/>
    </row>
    <row r="142" spans="10:10" x14ac:dyDescent="0.35">
      <c r="J142" s="5"/>
    </row>
    <row r="143" spans="10:10" x14ac:dyDescent="0.35">
      <c r="J143" s="5"/>
    </row>
    <row r="144" spans="10:10" x14ac:dyDescent="0.35">
      <c r="J144" s="5"/>
    </row>
    <row r="145" spans="10:10" x14ac:dyDescent="0.35">
      <c r="J145" s="5"/>
    </row>
    <row r="146" spans="10:10" x14ac:dyDescent="0.35">
      <c r="J146" s="5"/>
    </row>
    <row r="147" spans="10:10" x14ac:dyDescent="0.35">
      <c r="J147" s="5"/>
    </row>
    <row r="148" spans="10:10" x14ac:dyDescent="0.35">
      <c r="J148" s="5"/>
    </row>
    <row r="149" spans="10:10" x14ac:dyDescent="0.35">
      <c r="J149" s="5"/>
    </row>
    <row r="150" spans="10:10" x14ac:dyDescent="0.35">
      <c r="J150" s="5"/>
    </row>
    <row r="151" spans="10:10" x14ac:dyDescent="0.35">
      <c r="J151" s="5"/>
    </row>
    <row r="152" spans="10:10" x14ac:dyDescent="0.35">
      <c r="J152" s="5"/>
    </row>
    <row r="153" spans="10:10" x14ac:dyDescent="0.35">
      <c r="J153" s="5"/>
    </row>
    <row r="154" spans="10:10" x14ac:dyDescent="0.35">
      <c r="J154" s="5"/>
    </row>
    <row r="155" spans="10:10" x14ac:dyDescent="0.35">
      <c r="J155" s="5"/>
    </row>
    <row r="156" spans="10:10" x14ac:dyDescent="0.35">
      <c r="J156" s="5"/>
    </row>
    <row r="157" spans="10:10" x14ac:dyDescent="0.35">
      <c r="J157" s="5"/>
    </row>
    <row r="158" spans="10:10" x14ac:dyDescent="0.35">
      <c r="J158" s="5"/>
    </row>
    <row r="159" spans="10:10" x14ac:dyDescent="0.35">
      <c r="J159" s="5"/>
    </row>
    <row r="160" spans="10:10" x14ac:dyDescent="0.35">
      <c r="J160" s="5"/>
    </row>
    <row r="161" spans="10:10" x14ac:dyDescent="0.35">
      <c r="J161" s="5"/>
    </row>
    <row r="162" spans="10:10" x14ac:dyDescent="0.35">
      <c r="J162" s="5"/>
    </row>
    <row r="163" spans="10:10" x14ac:dyDescent="0.35">
      <c r="J163" s="5"/>
    </row>
    <row r="164" spans="10:10" x14ac:dyDescent="0.35">
      <c r="J164" s="5"/>
    </row>
    <row r="165" spans="10:10" x14ac:dyDescent="0.35">
      <c r="J165" s="5"/>
    </row>
    <row r="166" spans="10:10" x14ac:dyDescent="0.35">
      <c r="J166" s="5"/>
    </row>
    <row r="167" spans="10:10" x14ac:dyDescent="0.35">
      <c r="J167" s="5"/>
    </row>
    <row r="168" spans="10:10" x14ac:dyDescent="0.35">
      <c r="J168" s="5"/>
    </row>
    <row r="169" spans="10:10" x14ac:dyDescent="0.35">
      <c r="J169" s="5"/>
    </row>
    <row r="170" spans="10:10" x14ac:dyDescent="0.35">
      <c r="J170" s="5"/>
    </row>
    <row r="171" spans="10:10" x14ac:dyDescent="0.35">
      <c r="J171" s="5"/>
    </row>
    <row r="172" spans="10:10" x14ac:dyDescent="0.35">
      <c r="J172" s="5"/>
    </row>
    <row r="173" spans="10:10" x14ac:dyDescent="0.35">
      <c r="J173" s="5"/>
    </row>
    <row r="174" spans="10:10" x14ac:dyDescent="0.35">
      <c r="J174" s="5"/>
    </row>
    <row r="175" spans="10:10" x14ac:dyDescent="0.35">
      <c r="J175" s="5"/>
    </row>
    <row r="176" spans="10:10" x14ac:dyDescent="0.35">
      <c r="J176" s="5"/>
    </row>
    <row r="177" spans="10:10" x14ac:dyDescent="0.35">
      <c r="J177" s="5"/>
    </row>
    <row r="178" spans="10:10" x14ac:dyDescent="0.35">
      <c r="J178" s="5"/>
    </row>
    <row r="179" spans="10:10" x14ac:dyDescent="0.35">
      <c r="J179" s="5"/>
    </row>
    <row r="180" spans="10:10" x14ac:dyDescent="0.35">
      <c r="J180" s="5"/>
    </row>
    <row r="181" spans="10:10" x14ac:dyDescent="0.35">
      <c r="J181" s="5"/>
    </row>
    <row r="182" spans="10:10" x14ac:dyDescent="0.35">
      <c r="J182" s="5"/>
    </row>
    <row r="183" spans="10:10" x14ac:dyDescent="0.35">
      <c r="J183" s="5"/>
    </row>
    <row r="184" spans="10:10" x14ac:dyDescent="0.35">
      <c r="J184" s="5"/>
    </row>
    <row r="185" spans="10:10" x14ac:dyDescent="0.35">
      <c r="J185" s="5"/>
    </row>
    <row r="186" spans="10:10" x14ac:dyDescent="0.35">
      <c r="J186" s="5"/>
    </row>
    <row r="187" spans="10:10" x14ac:dyDescent="0.35">
      <c r="J187" s="5"/>
    </row>
    <row r="188" spans="10:10" x14ac:dyDescent="0.35">
      <c r="J188" s="5"/>
    </row>
    <row r="189" spans="10:10" x14ac:dyDescent="0.35">
      <c r="J189" s="5"/>
    </row>
    <row r="190" spans="10:10" x14ac:dyDescent="0.35">
      <c r="J190" s="5"/>
    </row>
    <row r="191" spans="10:10" x14ac:dyDescent="0.35">
      <c r="J191" s="5"/>
    </row>
    <row r="192" spans="10:10" x14ac:dyDescent="0.35">
      <c r="J192" s="5"/>
    </row>
    <row r="193" spans="10:10" x14ac:dyDescent="0.35">
      <c r="J193" s="5"/>
    </row>
    <row r="194" spans="10:10" x14ac:dyDescent="0.35">
      <c r="J194" s="5"/>
    </row>
    <row r="195" spans="10:10" x14ac:dyDescent="0.35">
      <c r="J195" s="5"/>
    </row>
    <row r="196" spans="10:10" x14ac:dyDescent="0.35">
      <c r="J196" s="5"/>
    </row>
    <row r="197" spans="10:10" x14ac:dyDescent="0.35">
      <c r="J197" s="5"/>
    </row>
    <row r="198" spans="10:10" x14ac:dyDescent="0.35">
      <c r="J198" s="5"/>
    </row>
    <row r="199" spans="10:10" x14ac:dyDescent="0.35">
      <c r="J199" s="5"/>
    </row>
    <row r="200" spans="10:10" x14ac:dyDescent="0.35">
      <c r="J200" s="5"/>
    </row>
    <row r="201" spans="10:10" x14ac:dyDescent="0.35">
      <c r="J201" s="5"/>
    </row>
    <row r="202" spans="10:10" x14ac:dyDescent="0.35">
      <c r="J202" s="5"/>
    </row>
    <row r="203" spans="10:10" x14ac:dyDescent="0.35">
      <c r="J203" s="5"/>
    </row>
    <row r="204" spans="10:10" x14ac:dyDescent="0.35">
      <c r="J204" s="5"/>
    </row>
    <row r="205" spans="10:10" x14ac:dyDescent="0.35">
      <c r="J205" s="5"/>
    </row>
    <row r="206" spans="10:10" x14ac:dyDescent="0.35">
      <c r="J206" s="5"/>
    </row>
    <row r="207" spans="10:10" x14ac:dyDescent="0.35">
      <c r="J207" s="5"/>
    </row>
    <row r="208" spans="10:10" x14ac:dyDescent="0.35">
      <c r="J208" s="5"/>
    </row>
    <row r="209" spans="10:10" x14ac:dyDescent="0.35">
      <c r="J209" s="5"/>
    </row>
    <row r="210" spans="10:10" x14ac:dyDescent="0.35">
      <c r="J210" s="5"/>
    </row>
    <row r="211" spans="10:10" x14ac:dyDescent="0.35">
      <c r="J211" s="5"/>
    </row>
    <row r="212" spans="10:10" x14ac:dyDescent="0.35">
      <c r="J212" s="5"/>
    </row>
    <row r="213" spans="10:10" x14ac:dyDescent="0.35">
      <c r="J213" s="5"/>
    </row>
    <row r="214" spans="10:10" x14ac:dyDescent="0.35">
      <c r="J214" s="5"/>
    </row>
    <row r="215" spans="10:10" x14ac:dyDescent="0.35">
      <c r="J215" s="5"/>
    </row>
    <row r="216" spans="10:10" x14ac:dyDescent="0.35">
      <c r="J216" s="5"/>
    </row>
    <row r="217" spans="10:10" x14ac:dyDescent="0.35">
      <c r="J217" s="5"/>
    </row>
    <row r="218" spans="10:10" x14ac:dyDescent="0.35">
      <c r="J218" s="5"/>
    </row>
    <row r="219" spans="10:10" x14ac:dyDescent="0.35">
      <c r="J219" s="5"/>
    </row>
    <row r="220" spans="10:10" x14ac:dyDescent="0.35">
      <c r="J220" s="5"/>
    </row>
    <row r="221" spans="10:10" x14ac:dyDescent="0.35">
      <c r="J221" s="5"/>
    </row>
    <row r="222" spans="10:10" x14ac:dyDescent="0.35">
      <c r="J222" s="5"/>
    </row>
    <row r="223" spans="10:10" x14ac:dyDescent="0.35">
      <c r="J223" s="5"/>
    </row>
    <row r="224" spans="10:10" x14ac:dyDescent="0.35">
      <c r="J224" s="5"/>
    </row>
    <row r="225" spans="10:10" x14ac:dyDescent="0.35">
      <c r="J225" s="5"/>
    </row>
    <row r="226" spans="10:10" x14ac:dyDescent="0.35">
      <c r="J226" s="5"/>
    </row>
    <row r="227" spans="10:10" x14ac:dyDescent="0.35">
      <c r="J227" s="5"/>
    </row>
    <row r="228" spans="10:10" x14ac:dyDescent="0.35">
      <c r="J228" s="5"/>
    </row>
    <row r="229" spans="10:10" x14ac:dyDescent="0.35">
      <c r="J229" s="5"/>
    </row>
    <row r="230" spans="10:10" x14ac:dyDescent="0.35">
      <c r="J230" s="5"/>
    </row>
    <row r="231" spans="10:10" x14ac:dyDescent="0.35">
      <c r="J231" s="5"/>
    </row>
    <row r="232" spans="10:10" x14ac:dyDescent="0.35">
      <c r="J232" s="5"/>
    </row>
    <row r="233" spans="10:10" x14ac:dyDescent="0.35">
      <c r="J233" s="5"/>
    </row>
    <row r="234" spans="10:10" x14ac:dyDescent="0.35">
      <c r="J234" s="5"/>
    </row>
    <row r="235" spans="10:10" x14ac:dyDescent="0.35">
      <c r="J235" s="5"/>
    </row>
    <row r="236" spans="10:10" x14ac:dyDescent="0.35">
      <c r="J236" s="5"/>
    </row>
    <row r="237" spans="10:10" x14ac:dyDescent="0.35">
      <c r="J237" s="5"/>
    </row>
    <row r="238" spans="10:10" x14ac:dyDescent="0.35">
      <c r="J238" s="5"/>
    </row>
    <row r="239" spans="10:10" x14ac:dyDescent="0.35">
      <c r="J239" s="5"/>
    </row>
    <row r="240" spans="10:10" x14ac:dyDescent="0.35">
      <c r="J240" s="5"/>
    </row>
    <row r="241" spans="10:10" x14ac:dyDescent="0.35">
      <c r="J241" s="5"/>
    </row>
    <row r="242" spans="10:10" x14ac:dyDescent="0.35">
      <c r="J242" s="5"/>
    </row>
    <row r="243" spans="10:10" x14ac:dyDescent="0.35">
      <c r="J243" s="5"/>
    </row>
    <row r="244" spans="10:10" x14ac:dyDescent="0.35">
      <c r="J244" s="5"/>
    </row>
    <row r="245" spans="10:10" x14ac:dyDescent="0.35">
      <c r="J245" s="5"/>
    </row>
    <row r="246" spans="10:10" x14ac:dyDescent="0.35">
      <c r="J246" s="5"/>
    </row>
    <row r="247" spans="10:10" x14ac:dyDescent="0.35">
      <c r="J247" s="5"/>
    </row>
    <row r="248" spans="10:10" x14ac:dyDescent="0.35">
      <c r="J248" s="5"/>
    </row>
    <row r="249" spans="10:10" x14ac:dyDescent="0.35">
      <c r="J249" s="5"/>
    </row>
    <row r="250" spans="10:10" x14ac:dyDescent="0.35">
      <c r="J250" s="5"/>
    </row>
    <row r="251" spans="10:10" x14ac:dyDescent="0.35">
      <c r="J251" s="5"/>
    </row>
    <row r="252" spans="10:10" x14ac:dyDescent="0.35">
      <c r="J252" s="5"/>
    </row>
    <row r="253" spans="10:10" x14ac:dyDescent="0.35">
      <c r="J253" s="5"/>
    </row>
    <row r="254" spans="10:10" x14ac:dyDescent="0.35">
      <c r="J254" s="5"/>
    </row>
    <row r="255" spans="10:10" x14ac:dyDescent="0.35">
      <c r="J255" s="5"/>
    </row>
    <row r="256" spans="10:10" x14ac:dyDescent="0.35">
      <c r="J256" s="5"/>
    </row>
    <row r="257" spans="10:10" x14ac:dyDescent="0.35">
      <c r="J257" s="5"/>
    </row>
    <row r="258" spans="10:10" x14ac:dyDescent="0.35">
      <c r="J258" s="5"/>
    </row>
    <row r="259" spans="10:10" x14ac:dyDescent="0.35">
      <c r="J259" s="5"/>
    </row>
    <row r="260" spans="10:10" x14ac:dyDescent="0.35">
      <c r="J260" s="5"/>
    </row>
    <row r="261" spans="10:10" x14ac:dyDescent="0.35">
      <c r="J261" s="5"/>
    </row>
    <row r="262" spans="10:10" x14ac:dyDescent="0.35">
      <c r="J262" s="5"/>
    </row>
    <row r="263" spans="10:10" x14ac:dyDescent="0.35">
      <c r="J263" s="5"/>
    </row>
    <row r="264" spans="10:10" x14ac:dyDescent="0.35">
      <c r="J264" s="5"/>
    </row>
    <row r="265" spans="10:10" x14ac:dyDescent="0.35">
      <c r="J265" s="5"/>
    </row>
    <row r="266" spans="10:10" x14ac:dyDescent="0.35">
      <c r="J266" s="5"/>
    </row>
    <row r="267" spans="10:10" x14ac:dyDescent="0.35">
      <c r="J267" s="5"/>
    </row>
    <row r="268" spans="10:10" x14ac:dyDescent="0.35">
      <c r="J268" s="5"/>
    </row>
    <row r="269" spans="10:10" x14ac:dyDescent="0.35">
      <c r="J269" s="5"/>
    </row>
    <row r="270" spans="10:10" x14ac:dyDescent="0.35">
      <c r="J270" s="5"/>
    </row>
    <row r="271" spans="10:10" x14ac:dyDescent="0.35">
      <c r="J271" s="5"/>
    </row>
    <row r="272" spans="10:10" x14ac:dyDescent="0.35">
      <c r="J272" s="5"/>
    </row>
    <row r="273" spans="10:10" x14ac:dyDescent="0.35">
      <c r="J273" s="5"/>
    </row>
    <row r="274" spans="10:10" x14ac:dyDescent="0.35">
      <c r="J274" s="5"/>
    </row>
    <row r="275" spans="10:10" x14ac:dyDescent="0.35">
      <c r="J275" s="5"/>
    </row>
    <row r="276" spans="10:10" x14ac:dyDescent="0.35">
      <c r="J276" s="5"/>
    </row>
    <row r="277" spans="10:10" x14ac:dyDescent="0.35">
      <c r="J277" s="5"/>
    </row>
    <row r="278" spans="10:10" x14ac:dyDescent="0.35">
      <c r="J278" s="5"/>
    </row>
    <row r="279" spans="10:10" x14ac:dyDescent="0.35">
      <c r="J279" s="5"/>
    </row>
    <row r="280" spans="10:10" x14ac:dyDescent="0.35">
      <c r="J280" s="5"/>
    </row>
    <row r="281" spans="10:10" x14ac:dyDescent="0.35">
      <c r="J281" s="5"/>
    </row>
    <row r="282" spans="10:10" x14ac:dyDescent="0.35">
      <c r="J282" s="5"/>
    </row>
    <row r="283" spans="10:10" x14ac:dyDescent="0.35">
      <c r="J283" s="5"/>
    </row>
    <row r="284" spans="10:10" x14ac:dyDescent="0.35">
      <c r="J284" s="5"/>
    </row>
    <row r="285" spans="10:10" x14ac:dyDescent="0.35">
      <c r="J285" s="5"/>
    </row>
    <row r="286" spans="10:10" x14ac:dyDescent="0.35">
      <c r="J286" s="5"/>
    </row>
    <row r="287" spans="10:10" x14ac:dyDescent="0.35">
      <c r="J287" s="5"/>
    </row>
    <row r="288" spans="10:10" x14ac:dyDescent="0.35">
      <c r="J288" s="5"/>
    </row>
    <row r="289" spans="10:10" x14ac:dyDescent="0.35">
      <c r="J289" s="5"/>
    </row>
    <row r="290" spans="10:10" x14ac:dyDescent="0.35">
      <c r="J290" s="5"/>
    </row>
    <row r="291" spans="10:10" x14ac:dyDescent="0.35">
      <c r="J291" s="5"/>
    </row>
    <row r="292" spans="10:10" x14ac:dyDescent="0.35">
      <c r="J292" s="5"/>
    </row>
    <row r="293" spans="10:10" x14ac:dyDescent="0.35">
      <c r="J293" s="5"/>
    </row>
    <row r="294" spans="10:10" x14ac:dyDescent="0.35">
      <c r="J294" s="5"/>
    </row>
    <row r="295" spans="10:10" x14ac:dyDescent="0.35">
      <c r="J295" s="5"/>
    </row>
    <row r="296" spans="10:10" x14ac:dyDescent="0.35">
      <c r="J296" s="5"/>
    </row>
    <row r="297" spans="10:10" x14ac:dyDescent="0.35">
      <c r="J297" s="5"/>
    </row>
    <row r="298" spans="10:10" x14ac:dyDescent="0.35">
      <c r="J298" s="5"/>
    </row>
    <row r="299" spans="10:10" x14ac:dyDescent="0.35">
      <c r="J299" s="5"/>
    </row>
    <row r="300" spans="10:10" x14ac:dyDescent="0.35">
      <c r="J300" s="5"/>
    </row>
    <row r="301" spans="10:10" x14ac:dyDescent="0.35">
      <c r="J301" s="5"/>
    </row>
    <row r="302" spans="10:10" x14ac:dyDescent="0.35">
      <c r="J302" s="5"/>
    </row>
    <row r="303" spans="10:10" x14ac:dyDescent="0.35">
      <c r="J303" s="5"/>
    </row>
    <row r="304" spans="10:10" x14ac:dyDescent="0.35">
      <c r="J304" s="5"/>
    </row>
    <row r="305" spans="10:10" x14ac:dyDescent="0.35">
      <c r="J305" s="5"/>
    </row>
    <row r="306" spans="10:10" x14ac:dyDescent="0.35">
      <c r="J306" s="5"/>
    </row>
    <row r="307" spans="10:10" x14ac:dyDescent="0.35">
      <c r="J307" s="5"/>
    </row>
    <row r="308" spans="10:10" x14ac:dyDescent="0.35">
      <c r="J308" s="5"/>
    </row>
    <row r="309" spans="10:10" x14ac:dyDescent="0.35">
      <c r="J309" s="5"/>
    </row>
    <row r="310" spans="10:10" x14ac:dyDescent="0.35">
      <c r="J310" s="5"/>
    </row>
    <row r="311" spans="10:10" x14ac:dyDescent="0.35">
      <c r="J311" s="5"/>
    </row>
    <row r="312" spans="10:10" x14ac:dyDescent="0.35">
      <c r="J312" s="5"/>
    </row>
    <row r="313" spans="10:10" x14ac:dyDescent="0.35">
      <c r="J313" s="5"/>
    </row>
    <row r="314" spans="10:10" x14ac:dyDescent="0.35">
      <c r="J314" s="5"/>
    </row>
    <row r="315" spans="10:10" x14ac:dyDescent="0.35">
      <c r="J315" s="5"/>
    </row>
    <row r="316" spans="10:10" x14ac:dyDescent="0.35">
      <c r="J316" s="5"/>
    </row>
    <row r="317" spans="10:10" x14ac:dyDescent="0.35">
      <c r="J317" s="5"/>
    </row>
    <row r="318" spans="10:10" x14ac:dyDescent="0.35">
      <c r="J318" s="5"/>
    </row>
    <row r="319" spans="10:10" x14ac:dyDescent="0.35">
      <c r="J319" s="5"/>
    </row>
    <row r="320" spans="10:10" x14ac:dyDescent="0.35">
      <c r="J320" s="5"/>
    </row>
    <row r="321" spans="10:10" x14ac:dyDescent="0.35">
      <c r="J321" s="5"/>
    </row>
    <row r="322" spans="10:10" x14ac:dyDescent="0.35">
      <c r="J322" s="5"/>
    </row>
    <row r="323" spans="10:10" x14ac:dyDescent="0.35">
      <c r="J323" s="5"/>
    </row>
    <row r="324" spans="10:10" x14ac:dyDescent="0.35">
      <c r="J324" s="5"/>
    </row>
    <row r="325" spans="10:10" x14ac:dyDescent="0.35">
      <c r="J325" s="5"/>
    </row>
    <row r="326" spans="10:10" x14ac:dyDescent="0.35">
      <c r="J326" s="5"/>
    </row>
    <row r="327" spans="10:10" x14ac:dyDescent="0.35">
      <c r="J327" s="5"/>
    </row>
    <row r="328" spans="10:10" x14ac:dyDescent="0.35">
      <c r="J328" s="5"/>
    </row>
    <row r="329" spans="10:10" x14ac:dyDescent="0.35">
      <c r="J329" s="5"/>
    </row>
    <row r="330" spans="10:10" x14ac:dyDescent="0.35">
      <c r="J330" s="5"/>
    </row>
    <row r="331" spans="10:10" x14ac:dyDescent="0.35">
      <c r="J331" s="5"/>
    </row>
    <row r="332" spans="10:10" x14ac:dyDescent="0.35">
      <c r="J332" s="5"/>
    </row>
    <row r="333" spans="10:10" x14ac:dyDescent="0.35">
      <c r="J333" s="5"/>
    </row>
    <row r="334" spans="10:10" x14ac:dyDescent="0.35">
      <c r="J334" s="5"/>
    </row>
    <row r="335" spans="10:10" x14ac:dyDescent="0.35">
      <c r="J335" s="5"/>
    </row>
    <row r="336" spans="10:10" x14ac:dyDescent="0.35">
      <c r="J336" s="5"/>
    </row>
    <row r="337" spans="10:10" x14ac:dyDescent="0.35">
      <c r="J337" s="5"/>
    </row>
    <row r="338" spans="10:10" x14ac:dyDescent="0.35">
      <c r="J338" s="5"/>
    </row>
    <row r="339" spans="10:10" x14ac:dyDescent="0.35">
      <c r="J339" s="5"/>
    </row>
    <row r="340" spans="10:10" x14ac:dyDescent="0.35">
      <c r="J340" s="5"/>
    </row>
    <row r="341" spans="10:10" x14ac:dyDescent="0.35">
      <c r="J341" s="5"/>
    </row>
    <row r="342" spans="10:10" x14ac:dyDescent="0.35">
      <c r="J342" s="5"/>
    </row>
    <row r="343" spans="10:10" x14ac:dyDescent="0.35">
      <c r="J343" s="5"/>
    </row>
    <row r="344" spans="10:10" x14ac:dyDescent="0.35">
      <c r="J344" s="5"/>
    </row>
    <row r="345" spans="10:10" x14ac:dyDescent="0.35">
      <c r="J345" s="5"/>
    </row>
    <row r="346" spans="10:10" x14ac:dyDescent="0.35">
      <c r="J346" s="5"/>
    </row>
    <row r="347" spans="10:10" x14ac:dyDescent="0.35">
      <c r="J347" s="5"/>
    </row>
    <row r="348" spans="10:10" x14ac:dyDescent="0.35">
      <c r="J348" s="5"/>
    </row>
    <row r="349" spans="10:10" x14ac:dyDescent="0.35">
      <c r="J349" s="5"/>
    </row>
    <row r="350" spans="10:10" x14ac:dyDescent="0.35">
      <c r="J350" s="5"/>
    </row>
    <row r="351" spans="10:10" x14ac:dyDescent="0.35">
      <c r="J351" s="5"/>
    </row>
    <row r="352" spans="10:10" x14ac:dyDescent="0.35">
      <c r="J352" s="5"/>
    </row>
    <row r="353" spans="10:10" x14ac:dyDescent="0.35">
      <c r="J353" s="5"/>
    </row>
    <row r="354" spans="10:10" x14ac:dyDescent="0.35">
      <c r="J354" s="5"/>
    </row>
    <row r="355" spans="10:10" x14ac:dyDescent="0.35">
      <c r="J355" s="5"/>
    </row>
    <row r="356" spans="10:10" x14ac:dyDescent="0.35">
      <c r="J356" s="5"/>
    </row>
    <row r="357" spans="10:10" x14ac:dyDescent="0.35">
      <c r="J357" s="5"/>
    </row>
    <row r="358" spans="10:10" x14ac:dyDescent="0.35">
      <c r="J358" s="5"/>
    </row>
    <row r="359" spans="10:10" x14ac:dyDescent="0.35">
      <c r="J359" s="5"/>
    </row>
    <row r="360" spans="10:10" x14ac:dyDescent="0.35">
      <c r="J360" s="5"/>
    </row>
    <row r="361" spans="10:10" x14ac:dyDescent="0.35">
      <c r="J361" s="5"/>
    </row>
    <row r="362" spans="10:10" x14ac:dyDescent="0.35">
      <c r="J362" s="5"/>
    </row>
    <row r="363" spans="10:10" x14ac:dyDescent="0.35">
      <c r="J363" s="5"/>
    </row>
    <row r="364" spans="10:10" x14ac:dyDescent="0.35">
      <c r="J364" s="5"/>
    </row>
    <row r="365" spans="10:10" x14ac:dyDescent="0.35">
      <c r="J365" s="5"/>
    </row>
    <row r="366" spans="10:10" x14ac:dyDescent="0.35">
      <c r="J366" s="5"/>
    </row>
    <row r="367" spans="10:10" x14ac:dyDescent="0.35">
      <c r="J367" s="5"/>
    </row>
    <row r="368" spans="10:10" x14ac:dyDescent="0.35">
      <c r="J368" s="5"/>
    </row>
    <row r="369" spans="10:10" x14ac:dyDescent="0.35">
      <c r="J369" s="5"/>
    </row>
    <row r="370" spans="10:10" x14ac:dyDescent="0.35">
      <c r="J370" s="5"/>
    </row>
    <row r="371" spans="10:10" x14ac:dyDescent="0.35">
      <c r="J371" s="5"/>
    </row>
    <row r="372" spans="10:10" x14ac:dyDescent="0.35">
      <c r="J372" s="5"/>
    </row>
    <row r="373" spans="10:10" x14ac:dyDescent="0.35">
      <c r="J373" s="5"/>
    </row>
    <row r="374" spans="10:10" x14ac:dyDescent="0.35">
      <c r="J374" s="5"/>
    </row>
    <row r="375" spans="10:10" x14ac:dyDescent="0.35">
      <c r="J375" s="5"/>
    </row>
    <row r="376" spans="10:10" x14ac:dyDescent="0.35">
      <c r="J376" s="5"/>
    </row>
    <row r="377" spans="10:10" x14ac:dyDescent="0.35">
      <c r="J377" s="5"/>
    </row>
    <row r="378" spans="10:10" x14ac:dyDescent="0.35">
      <c r="J378" s="5"/>
    </row>
    <row r="379" spans="10:10" x14ac:dyDescent="0.35">
      <c r="J379" s="5"/>
    </row>
    <row r="380" spans="10:10" x14ac:dyDescent="0.35">
      <c r="J380" s="5"/>
    </row>
    <row r="381" spans="10:10" x14ac:dyDescent="0.35">
      <c r="J381" s="5"/>
    </row>
    <row r="382" spans="10:10" x14ac:dyDescent="0.35">
      <c r="J382" s="5"/>
    </row>
    <row r="383" spans="10:10" x14ac:dyDescent="0.35">
      <c r="J383" s="5"/>
    </row>
    <row r="384" spans="10:10" x14ac:dyDescent="0.35">
      <c r="J384" s="5"/>
    </row>
    <row r="385" spans="10:10" x14ac:dyDescent="0.35">
      <c r="J385" s="5"/>
    </row>
    <row r="386" spans="10:10" x14ac:dyDescent="0.35">
      <c r="J386" s="5"/>
    </row>
    <row r="387" spans="10:10" x14ac:dyDescent="0.35">
      <c r="J387" s="5"/>
    </row>
    <row r="388" spans="10:10" x14ac:dyDescent="0.35">
      <c r="J388" s="5"/>
    </row>
    <row r="389" spans="10:10" x14ac:dyDescent="0.35">
      <c r="J389" s="5"/>
    </row>
    <row r="390" spans="10:10" x14ac:dyDescent="0.35">
      <c r="J390" s="5"/>
    </row>
    <row r="391" spans="10:10" x14ac:dyDescent="0.35">
      <c r="J391" s="5"/>
    </row>
    <row r="392" spans="10:10" x14ac:dyDescent="0.35">
      <c r="J392" s="5"/>
    </row>
    <row r="393" spans="10:10" x14ac:dyDescent="0.35">
      <c r="J393" s="5"/>
    </row>
    <row r="394" spans="10:10" x14ac:dyDescent="0.35">
      <c r="J394" s="5"/>
    </row>
    <row r="395" spans="10:10" x14ac:dyDescent="0.35">
      <c r="J395" s="5"/>
    </row>
    <row r="396" spans="10:10" x14ac:dyDescent="0.35">
      <c r="J396" s="5"/>
    </row>
    <row r="397" spans="10:10" x14ac:dyDescent="0.35">
      <c r="J397" s="5"/>
    </row>
    <row r="398" spans="10:10" x14ac:dyDescent="0.35">
      <c r="J398" s="5"/>
    </row>
    <row r="399" spans="10:10" x14ac:dyDescent="0.35">
      <c r="J399" s="5"/>
    </row>
    <row r="400" spans="10:10" x14ac:dyDescent="0.35">
      <c r="J400" s="5"/>
    </row>
    <row r="401" spans="10:10" x14ac:dyDescent="0.35">
      <c r="J401" s="5"/>
    </row>
    <row r="402" spans="10:10" x14ac:dyDescent="0.35">
      <c r="J402" s="5"/>
    </row>
    <row r="403" spans="10:10" x14ac:dyDescent="0.35">
      <c r="J403" s="5"/>
    </row>
    <row r="404" spans="10:10" x14ac:dyDescent="0.35">
      <c r="J404" s="5"/>
    </row>
    <row r="405" spans="10:10" x14ac:dyDescent="0.35">
      <c r="J405" s="5"/>
    </row>
    <row r="406" spans="10:10" x14ac:dyDescent="0.35">
      <c r="J406" s="5"/>
    </row>
    <row r="407" spans="10:10" x14ac:dyDescent="0.35">
      <c r="J407" s="5"/>
    </row>
    <row r="408" spans="10:10" x14ac:dyDescent="0.35">
      <c r="J408" s="5"/>
    </row>
    <row r="409" spans="10:10" x14ac:dyDescent="0.35">
      <c r="J409" s="5"/>
    </row>
    <row r="410" spans="10:10" x14ac:dyDescent="0.35">
      <c r="J410" s="5"/>
    </row>
    <row r="411" spans="10:10" x14ac:dyDescent="0.35">
      <c r="J411" s="5"/>
    </row>
    <row r="412" spans="10:10" x14ac:dyDescent="0.35">
      <c r="J412" s="5"/>
    </row>
    <row r="413" spans="10:10" x14ac:dyDescent="0.35">
      <c r="J413" s="5"/>
    </row>
    <row r="414" spans="10:10" x14ac:dyDescent="0.35">
      <c r="J414" s="5"/>
    </row>
    <row r="415" spans="10:10" x14ac:dyDescent="0.35">
      <c r="J415" s="5"/>
    </row>
    <row r="416" spans="10:10" x14ac:dyDescent="0.35">
      <c r="J416" s="5"/>
    </row>
    <row r="417" spans="10:10" x14ac:dyDescent="0.35">
      <c r="J417" s="5"/>
    </row>
    <row r="418" spans="10:10" x14ac:dyDescent="0.35">
      <c r="J418" s="5"/>
    </row>
    <row r="419" spans="10:10" x14ac:dyDescent="0.35">
      <c r="J419" s="5"/>
    </row>
    <row r="420" spans="10:10" x14ac:dyDescent="0.35">
      <c r="J420" s="5"/>
    </row>
    <row r="421" spans="10:10" x14ac:dyDescent="0.35">
      <c r="J421" s="5"/>
    </row>
    <row r="422" spans="10:10" x14ac:dyDescent="0.35">
      <c r="J422" s="5"/>
    </row>
    <row r="423" spans="10:10" x14ac:dyDescent="0.35">
      <c r="J423" s="5"/>
    </row>
    <row r="424" spans="10:10" x14ac:dyDescent="0.35">
      <c r="J424" s="5"/>
    </row>
    <row r="425" spans="10:10" x14ac:dyDescent="0.35">
      <c r="J425" s="5"/>
    </row>
    <row r="426" spans="10:10" x14ac:dyDescent="0.35">
      <c r="J426" s="5"/>
    </row>
    <row r="427" spans="10:10" x14ac:dyDescent="0.35">
      <c r="J427" s="5"/>
    </row>
    <row r="428" spans="10:10" x14ac:dyDescent="0.35">
      <c r="J428" s="5"/>
    </row>
    <row r="429" spans="10:10" x14ac:dyDescent="0.35">
      <c r="J429" s="5"/>
    </row>
    <row r="430" spans="10:10" x14ac:dyDescent="0.35">
      <c r="J430" s="5"/>
    </row>
    <row r="431" spans="10:10" x14ac:dyDescent="0.35">
      <c r="J431" s="5"/>
    </row>
    <row r="432" spans="10:10" x14ac:dyDescent="0.35">
      <c r="J432" s="5"/>
    </row>
    <row r="433" spans="10:10" x14ac:dyDescent="0.35">
      <c r="J433" s="5"/>
    </row>
    <row r="434" spans="10:10" x14ac:dyDescent="0.35">
      <c r="J434" s="5"/>
    </row>
    <row r="435" spans="10:10" x14ac:dyDescent="0.35">
      <c r="J435" s="5"/>
    </row>
    <row r="436" spans="10:10" x14ac:dyDescent="0.35">
      <c r="J436" s="5"/>
    </row>
    <row r="437" spans="10:10" x14ac:dyDescent="0.35">
      <c r="J437" s="5"/>
    </row>
    <row r="438" spans="10:10" x14ac:dyDescent="0.35">
      <c r="J438" s="5"/>
    </row>
    <row r="439" spans="10:10" x14ac:dyDescent="0.35">
      <c r="J439" s="5"/>
    </row>
    <row r="440" spans="10:10" x14ac:dyDescent="0.35">
      <c r="J440" s="5"/>
    </row>
    <row r="441" spans="10:10" x14ac:dyDescent="0.35">
      <c r="J441" s="5"/>
    </row>
    <row r="442" spans="10:10" x14ac:dyDescent="0.35">
      <c r="J442" s="5"/>
    </row>
    <row r="443" spans="10:10" x14ac:dyDescent="0.35">
      <c r="J443" s="5"/>
    </row>
    <row r="444" spans="10:10" x14ac:dyDescent="0.35">
      <c r="J444" s="5"/>
    </row>
    <row r="445" spans="10:10" x14ac:dyDescent="0.35">
      <c r="J445" s="5"/>
    </row>
    <row r="446" spans="10:10" x14ac:dyDescent="0.35">
      <c r="J446" s="5"/>
    </row>
    <row r="447" spans="10:10" x14ac:dyDescent="0.35">
      <c r="J447" s="5"/>
    </row>
    <row r="448" spans="10:10" x14ac:dyDescent="0.35">
      <c r="J448" s="5"/>
    </row>
    <row r="449" spans="10:10" x14ac:dyDescent="0.35">
      <c r="J449" s="5"/>
    </row>
    <row r="450" spans="10:10" x14ac:dyDescent="0.35">
      <c r="J450" s="5"/>
    </row>
    <row r="451" spans="10:10" x14ac:dyDescent="0.35">
      <c r="J451" s="5"/>
    </row>
    <row r="452" spans="10:10" x14ac:dyDescent="0.35">
      <c r="J452" s="5"/>
    </row>
    <row r="453" spans="10:10" x14ac:dyDescent="0.35">
      <c r="J453" s="5"/>
    </row>
    <row r="454" spans="10:10" x14ac:dyDescent="0.35">
      <c r="J454" s="5"/>
    </row>
    <row r="455" spans="10:10" x14ac:dyDescent="0.35">
      <c r="J455" s="5"/>
    </row>
    <row r="456" spans="10:10" x14ac:dyDescent="0.35">
      <c r="J456" s="5"/>
    </row>
    <row r="457" spans="10:10" x14ac:dyDescent="0.35">
      <c r="J457" s="5"/>
    </row>
    <row r="458" spans="10:10" x14ac:dyDescent="0.35">
      <c r="J458" s="5"/>
    </row>
    <row r="459" spans="10:10" x14ac:dyDescent="0.35">
      <c r="J459" s="5"/>
    </row>
    <row r="460" spans="10:10" x14ac:dyDescent="0.35">
      <c r="J460" s="5"/>
    </row>
    <row r="461" spans="10:10" x14ac:dyDescent="0.35">
      <c r="J461" s="5"/>
    </row>
    <row r="462" spans="10:10" x14ac:dyDescent="0.35">
      <c r="J462" s="5"/>
    </row>
    <row r="463" spans="10:10" x14ac:dyDescent="0.35">
      <c r="J463" s="5"/>
    </row>
    <row r="464" spans="10:10" x14ac:dyDescent="0.35">
      <c r="J464" s="5"/>
    </row>
    <row r="465" spans="10:10" x14ac:dyDescent="0.35">
      <c r="J465" s="5"/>
    </row>
    <row r="466" spans="10:10" x14ac:dyDescent="0.35">
      <c r="J466" s="5"/>
    </row>
    <row r="467" spans="10:10" x14ac:dyDescent="0.35">
      <c r="J467" s="5"/>
    </row>
    <row r="468" spans="10:10" x14ac:dyDescent="0.35">
      <c r="J468" s="5"/>
    </row>
    <row r="469" spans="10:10" x14ac:dyDescent="0.35">
      <c r="J469" s="5"/>
    </row>
    <row r="470" spans="10:10" x14ac:dyDescent="0.35">
      <c r="J470" s="5"/>
    </row>
    <row r="471" spans="10:10" x14ac:dyDescent="0.35">
      <c r="J471" s="5"/>
    </row>
    <row r="472" spans="10:10" x14ac:dyDescent="0.35">
      <c r="J472" s="5"/>
    </row>
    <row r="473" spans="10:10" x14ac:dyDescent="0.35">
      <c r="J473" s="5"/>
    </row>
    <row r="474" spans="10:10" x14ac:dyDescent="0.35">
      <c r="J474" s="5"/>
    </row>
    <row r="475" spans="10:10" x14ac:dyDescent="0.35">
      <c r="J475" s="5"/>
    </row>
    <row r="476" spans="10:10" x14ac:dyDescent="0.35">
      <c r="J476" s="5"/>
    </row>
    <row r="477" spans="10:10" x14ac:dyDescent="0.35">
      <c r="J477" s="5"/>
    </row>
    <row r="478" spans="10:10" x14ac:dyDescent="0.35">
      <c r="J478" s="5"/>
    </row>
    <row r="479" spans="10:10" x14ac:dyDescent="0.35">
      <c r="J479" s="5"/>
    </row>
    <row r="480" spans="10:10" x14ac:dyDescent="0.35">
      <c r="J480" s="5"/>
    </row>
    <row r="481" spans="10:10" x14ac:dyDescent="0.35">
      <c r="J481" s="5"/>
    </row>
    <row r="482" spans="10:10" x14ac:dyDescent="0.35">
      <c r="J482" s="5"/>
    </row>
    <row r="483" spans="10:10" x14ac:dyDescent="0.35">
      <c r="J483" s="5"/>
    </row>
    <row r="484" spans="10:10" x14ac:dyDescent="0.35">
      <c r="J484" s="5"/>
    </row>
    <row r="485" spans="10:10" x14ac:dyDescent="0.35">
      <c r="J485" s="5"/>
    </row>
    <row r="486" spans="10:10" x14ac:dyDescent="0.35">
      <c r="J486" s="5"/>
    </row>
    <row r="487" spans="10:10" x14ac:dyDescent="0.35">
      <c r="J487" s="5"/>
    </row>
    <row r="488" spans="10:10" x14ac:dyDescent="0.35">
      <c r="J488" s="5"/>
    </row>
    <row r="489" spans="10:10" x14ac:dyDescent="0.35">
      <c r="J489" s="5"/>
    </row>
    <row r="490" spans="10:10" x14ac:dyDescent="0.35">
      <c r="J490" s="5"/>
    </row>
    <row r="491" spans="10:10" x14ac:dyDescent="0.35">
      <c r="J491" s="5"/>
    </row>
    <row r="492" spans="10:10" x14ac:dyDescent="0.35">
      <c r="J492" s="5"/>
    </row>
    <row r="493" spans="10:10" x14ac:dyDescent="0.35">
      <c r="J493" s="5"/>
    </row>
    <row r="494" spans="10:10" x14ac:dyDescent="0.35">
      <c r="J494" s="5"/>
    </row>
    <row r="495" spans="10:10" x14ac:dyDescent="0.35">
      <c r="J495" s="5"/>
    </row>
    <row r="496" spans="10:10" x14ac:dyDescent="0.35">
      <c r="J496" s="5"/>
    </row>
    <row r="497" spans="10:10" x14ac:dyDescent="0.35">
      <c r="J497" s="5"/>
    </row>
    <row r="498" spans="10:10" x14ac:dyDescent="0.35">
      <c r="J498" s="5"/>
    </row>
    <row r="499" spans="10:10" x14ac:dyDescent="0.35">
      <c r="J499" s="5"/>
    </row>
    <row r="500" spans="10:10" x14ac:dyDescent="0.35">
      <c r="J500" s="5"/>
    </row>
    <row r="501" spans="10:10" x14ac:dyDescent="0.35">
      <c r="J501" s="5"/>
    </row>
    <row r="502" spans="10:10" x14ac:dyDescent="0.35">
      <c r="J502" s="5"/>
    </row>
    <row r="503" spans="10:10" x14ac:dyDescent="0.35">
      <c r="J503" s="5"/>
    </row>
    <row r="504" spans="10:10" x14ac:dyDescent="0.35">
      <c r="J504" s="5"/>
    </row>
    <row r="505" spans="10:10" x14ac:dyDescent="0.35">
      <c r="J505" s="5"/>
    </row>
    <row r="506" spans="10:10" x14ac:dyDescent="0.35">
      <c r="J506" s="5"/>
    </row>
    <row r="507" spans="10:10" x14ac:dyDescent="0.35">
      <c r="J507" s="5"/>
    </row>
    <row r="508" spans="10:10" x14ac:dyDescent="0.35">
      <c r="J508" s="5"/>
    </row>
    <row r="509" spans="10:10" x14ac:dyDescent="0.35">
      <c r="J509" s="5"/>
    </row>
    <row r="510" spans="10:10" x14ac:dyDescent="0.35">
      <c r="J510" s="5"/>
    </row>
    <row r="511" spans="10:10" x14ac:dyDescent="0.35">
      <c r="J511" s="5"/>
    </row>
    <row r="512" spans="10:10" x14ac:dyDescent="0.35">
      <c r="J512" s="5"/>
    </row>
    <row r="513" spans="10:10" x14ac:dyDescent="0.35">
      <c r="J513" s="5"/>
    </row>
    <row r="514" spans="10:10" x14ac:dyDescent="0.35">
      <c r="J514" s="5"/>
    </row>
    <row r="515" spans="10:10" x14ac:dyDescent="0.35">
      <c r="J515" s="5"/>
    </row>
    <row r="516" spans="10:10" x14ac:dyDescent="0.35">
      <c r="J516" s="5"/>
    </row>
    <row r="517" spans="10:10" x14ac:dyDescent="0.35">
      <c r="J517" s="5"/>
    </row>
    <row r="518" spans="10:10" x14ac:dyDescent="0.35">
      <c r="J518" s="5"/>
    </row>
    <row r="519" spans="10:10" x14ac:dyDescent="0.35">
      <c r="J519" s="5"/>
    </row>
    <row r="520" spans="10:10" x14ac:dyDescent="0.35">
      <c r="J520" s="5"/>
    </row>
    <row r="521" spans="10:10" x14ac:dyDescent="0.35">
      <c r="J521" s="5"/>
    </row>
    <row r="522" spans="10:10" x14ac:dyDescent="0.35">
      <c r="J522" s="5"/>
    </row>
    <row r="523" spans="10:10" x14ac:dyDescent="0.35">
      <c r="J523" s="5"/>
    </row>
    <row r="524" spans="10:10" x14ac:dyDescent="0.35">
      <c r="J524" s="5"/>
    </row>
    <row r="525" spans="10:10" x14ac:dyDescent="0.35">
      <c r="J525" s="5"/>
    </row>
    <row r="526" spans="10:10" x14ac:dyDescent="0.35">
      <c r="J526" s="5"/>
    </row>
    <row r="527" spans="10:10" x14ac:dyDescent="0.35">
      <c r="J527" s="5"/>
    </row>
    <row r="528" spans="10:10" x14ac:dyDescent="0.35">
      <c r="J528" s="5"/>
    </row>
    <row r="529" spans="10:10" x14ac:dyDescent="0.35">
      <c r="J529" s="5"/>
    </row>
    <row r="530" spans="10:10" x14ac:dyDescent="0.35">
      <c r="J530" s="5"/>
    </row>
    <row r="531" spans="10:10" x14ac:dyDescent="0.35">
      <c r="J531" s="5"/>
    </row>
    <row r="532" spans="10:10" x14ac:dyDescent="0.35">
      <c r="J532" s="5"/>
    </row>
    <row r="533" spans="10:10" x14ac:dyDescent="0.35">
      <c r="J533" s="5"/>
    </row>
    <row r="534" spans="10:10" x14ac:dyDescent="0.35">
      <c r="J534" s="5"/>
    </row>
    <row r="535" spans="10:10" x14ac:dyDescent="0.35">
      <c r="J535" s="5"/>
    </row>
    <row r="536" spans="10:10" x14ac:dyDescent="0.35">
      <c r="J536" s="5"/>
    </row>
    <row r="537" spans="10:10" x14ac:dyDescent="0.35">
      <c r="J537" s="5"/>
    </row>
    <row r="538" spans="10:10" x14ac:dyDescent="0.35">
      <c r="J538" s="5"/>
    </row>
    <row r="539" spans="10:10" x14ac:dyDescent="0.35">
      <c r="J539" s="5"/>
    </row>
    <row r="540" spans="10:10" x14ac:dyDescent="0.35">
      <c r="J540" s="5"/>
    </row>
    <row r="541" spans="10:10" x14ac:dyDescent="0.35">
      <c r="J541" s="5"/>
    </row>
    <row r="542" spans="10:10" x14ac:dyDescent="0.35">
      <c r="J542" s="5"/>
    </row>
    <row r="543" spans="10:10" x14ac:dyDescent="0.35">
      <c r="J543" s="5"/>
    </row>
    <row r="544" spans="10:10" x14ac:dyDescent="0.35">
      <c r="J544" s="5"/>
    </row>
    <row r="545" spans="10:10" x14ac:dyDescent="0.35">
      <c r="J545" s="5"/>
    </row>
    <row r="546" spans="10:10" x14ac:dyDescent="0.35">
      <c r="J546" s="5"/>
    </row>
    <row r="547" spans="10:10" x14ac:dyDescent="0.35">
      <c r="J547" s="5"/>
    </row>
    <row r="548" spans="10:10" x14ac:dyDescent="0.35">
      <c r="J548" s="5"/>
    </row>
    <row r="549" spans="10:10" x14ac:dyDescent="0.35">
      <c r="J549" s="5"/>
    </row>
    <row r="550" spans="10:10" x14ac:dyDescent="0.35">
      <c r="J550" s="5"/>
    </row>
    <row r="551" spans="10:10" x14ac:dyDescent="0.35">
      <c r="J551" s="5"/>
    </row>
    <row r="552" spans="10:10" x14ac:dyDescent="0.35">
      <c r="J552" s="5"/>
    </row>
    <row r="553" spans="10:10" x14ac:dyDescent="0.35">
      <c r="J553" s="5"/>
    </row>
    <row r="554" spans="10:10" x14ac:dyDescent="0.35">
      <c r="J554" s="5"/>
    </row>
    <row r="555" spans="10:10" x14ac:dyDescent="0.35">
      <c r="J555" s="5"/>
    </row>
    <row r="556" spans="10:10" x14ac:dyDescent="0.35">
      <c r="J556" s="5"/>
    </row>
    <row r="557" spans="10:10" x14ac:dyDescent="0.35">
      <c r="J557" s="5"/>
    </row>
    <row r="558" spans="10:10" x14ac:dyDescent="0.35">
      <c r="J558" s="5"/>
    </row>
    <row r="559" spans="10:10" x14ac:dyDescent="0.35">
      <c r="J559" s="5"/>
    </row>
    <row r="560" spans="10:10" x14ac:dyDescent="0.35">
      <c r="J560" s="5"/>
    </row>
    <row r="561" spans="10:10" x14ac:dyDescent="0.35">
      <c r="J561" s="5"/>
    </row>
    <row r="562" spans="10:10" x14ac:dyDescent="0.35">
      <c r="J562" s="5"/>
    </row>
    <row r="563" spans="10:10" x14ac:dyDescent="0.35">
      <c r="J563" s="5"/>
    </row>
    <row r="564" spans="10:10" x14ac:dyDescent="0.35">
      <c r="J564" s="5"/>
    </row>
    <row r="565" spans="10:10" x14ac:dyDescent="0.35">
      <c r="J565" s="5"/>
    </row>
    <row r="566" spans="10:10" x14ac:dyDescent="0.35">
      <c r="J566" s="5"/>
    </row>
    <row r="567" spans="10:10" x14ac:dyDescent="0.35">
      <c r="J567" s="5"/>
    </row>
    <row r="568" spans="10:10" x14ac:dyDescent="0.35">
      <c r="J568" s="5"/>
    </row>
    <row r="569" spans="10:10" x14ac:dyDescent="0.35">
      <c r="J569" s="5"/>
    </row>
    <row r="570" spans="10:10" x14ac:dyDescent="0.35">
      <c r="J570" s="5"/>
    </row>
    <row r="571" spans="10:10" x14ac:dyDescent="0.35">
      <c r="J571" s="5"/>
    </row>
    <row r="572" spans="10:10" x14ac:dyDescent="0.35">
      <c r="J572" s="5"/>
    </row>
    <row r="573" spans="10:10" x14ac:dyDescent="0.35">
      <c r="J573" s="5"/>
    </row>
    <row r="574" spans="10:10" x14ac:dyDescent="0.35">
      <c r="J574" s="5"/>
    </row>
    <row r="575" spans="10:10" x14ac:dyDescent="0.35">
      <c r="J575" s="5"/>
    </row>
    <row r="576" spans="10:10" x14ac:dyDescent="0.35">
      <c r="J576" s="5"/>
    </row>
    <row r="577" spans="10:10" x14ac:dyDescent="0.35">
      <c r="J577" s="5"/>
    </row>
    <row r="578" spans="10:10" x14ac:dyDescent="0.35">
      <c r="J578" s="5"/>
    </row>
    <row r="579" spans="10:10" x14ac:dyDescent="0.35">
      <c r="J579" s="5"/>
    </row>
    <row r="580" spans="10:10" x14ac:dyDescent="0.35">
      <c r="J580" s="5"/>
    </row>
    <row r="581" spans="10:10" x14ac:dyDescent="0.35">
      <c r="J581" s="5"/>
    </row>
    <row r="582" spans="10:10" x14ac:dyDescent="0.35">
      <c r="J582" s="5"/>
    </row>
    <row r="583" spans="10:10" x14ac:dyDescent="0.35">
      <c r="J583" s="5"/>
    </row>
    <row r="584" spans="10:10" x14ac:dyDescent="0.35">
      <c r="J584" s="5"/>
    </row>
    <row r="585" spans="10:10" x14ac:dyDescent="0.35">
      <c r="J585" s="5"/>
    </row>
    <row r="586" spans="10:10" x14ac:dyDescent="0.35">
      <c r="J586" s="5"/>
    </row>
    <row r="587" spans="10:10" x14ac:dyDescent="0.35">
      <c r="J587" s="5"/>
    </row>
    <row r="588" spans="10:10" x14ac:dyDescent="0.35">
      <c r="J588" s="5"/>
    </row>
    <row r="589" spans="10:10" x14ac:dyDescent="0.35">
      <c r="J589" s="5"/>
    </row>
    <row r="590" spans="10:10" x14ac:dyDescent="0.35">
      <c r="J590" s="5"/>
    </row>
    <row r="591" spans="10:10" x14ac:dyDescent="0.35">
      <c r="J591" s="5"/>
    </row>
    <row r="592" spans="10:10" x14ac:dyDescent="0.35">
      <c r="J592" s="5"/>
    </row>
    <row r="593" spans="10:10" x14ac:dyDescent="0.35">
      <c r="J593" s="5"/>
    </row>
    <row r="594" spans="10:10" x14ac:dyDescent="0.35">
      <c r="J594" s="5"/>
    </row>
    <row r="595" spans="10:10" x14ac:dyDescent="0.35">
      <c r="J595" s="5"/>
    </row>
    <row r="596" spans="10:10" x14ac:dyDescent="0.35">
      <c r="J596" s="5"/>
    </row>
    <row r="597" spans="10:10" x14ac:dyDescent="0.35">
      <c r="J597" s="5"/>
    </row>
    <row r="598" spans="10:10" x14ac:dyDescent="0.35">
      <c r="J598" s="5"/>
    </row>
    <row r="599" spans="10:10" x14ac:dyDescent="0.35">
      <c r="J599" s="5"/>
    </row>
    <row r="600" spans="10:10" x14ac:dyDescent="0.35">
      <c r="J600" s="5"/>
    </row>
    <row r="601" spans="10:10" x14ac:dyDescent="0.35">
      <c r="J601" s="5"/>
    </row>
    <row r="602" spans="10:10" x14ac:dyDescent="0.35">
      <c r="J602" s="5"/>
    </row>
    <row r="603" spans="10:10" x14ac:dyDescent="0.35">
      <c r="J603" s="5"/>
    </row>
    <row r="604" spans="10:10" x14ac:dyDescent="0.35">
      <c r="J604" s="5"/>
    </row>
    <row r="605" spans="10:10" x14ac:dyDescent="0.35">
      <c r="J605" s="5"/>
    </row>
    <row r="606" spans="10:10" x14ac:dyDescent="0.35">
      <c r="J606" s="5"/>
    </row>
    <row r="607" spans="10:10" x14ac:dyDescent="0.35">
      <c r="J607" s="5"/>
    </row>
    <row r="608" spans="10:10" x14ac:dyDescent="0.35">
      <c r="J608" s="5"/>
    </row>
    <row r="609" spans="10:10" x14ac:dyDescent="0.35">
      <c r="J609" s="5"/>
    </row>
    <row r="610" spans="10:10" x14ac:dyDescent="0.35">
      <c r="J610" s="5"/>
    </row>
    <row r="611" spans="10:10" x14ac:dyDescent="0.35">
      <c r="J611" s="5"/>
    </row>
    <row r="612" spans="10:10" x14ac:dyDescent="0.35">
      <c r="J612" s="5"/>
    </row>
    <row r="613" spans="10:10" x14ac:dyDescent="0.35">
      <c r="J613" s="5"/>
    </row>
    <row r="614" spans="10:10" x14ac:dyDescent="0.35">
      <c r="J614" s="5"/>
    </row>
    <row r="615" spans="10:10" x14ac:dyDescent="0.35">
      <c r="J615" s="5"/>
    </row>
    <row r="616" spans="10:10" x14ac:dyDescent="0.35">
      <c r="J616" s="5"/>
    </row>
    <row r="617" spans="10:10" x14ac:dyDescent="0.35">
      <c r="J617" s="5"/>
    </row>
    <row r="618" spans="10:10" x14ac:dyDescent="0.35">
      <c r="J618" s="5"/>
    </row>
    <row r="619" spans="10:10" x14ac:dyDescent="0.35">
      <c r="J619" s="5"/>
    </row>
    <row r="620" spans="10:10" x14ac:dyDescent="0.35">
      <c r="J620" s="5"/>
    </row>
    <row r="621" spans="10:10" x14ac:dyDescent="0.35">
      <c r="J621" s="5"/>
    </row>
    <row r="622" spans="10:10" x14ac:dyDescent="0.35">
      <c r="J622" s="5"/>
    </row>
    <row r="623" spans="10:10" x14ac:dyDescent="0.35">
      <c r="J623" s="5"/>
    </row>
    <row r="624" spans="10:10" x14ac:dyDescent="0.35">
      <c r="J624" s="5"/>
    </row>
    <row r="625" spans="10:10" x14ac:dyDescent="0.35">
      <c r="J625" s="5"/>
    </row>
    <row r="626" spans="10:10" x14ac:dyDescent="0.35">
      <c r="J626" s="5"/>
    </row>
    <row r="627" spans="10:10" x14ac:dyDescent="0.35">
      <c r="J627" s="5"/>
    </row>
    <row r="628" spans="10:10" x14ac:dyDescent="0.35">
      <c r="J628" s="5"/>
    </row>
    <row r="629" spans="10:10" x14ac:dyDescent="0.35">
      <c r="J629" s="5"/>
    </row>
    <row r="630" spans="10:10" x14ac:dyDescent="0.35">
      <c r="J630" s="5"/>
    </row>
    <row r="631" spans="10:10" x14ac:dyDescent="0.35">
      <c r="J631" s="5"/>
    </row>
    <row r="632" spans="10:10" x14ac:dyDescent="0.35">
      <c r="J632" s="5"/>
    </row>
    <row r="633" spans="10:10" x14ac:dyDescent="0.35">
      <c r="J633" s="5"/>
    </row>
    <row r="634" spans="10:10" x14ac:dyDescent="0.35">
      <c r="J634" s="5"/>
    </row>
    <row r="635" spans="10:10" x14ac:dyDescent="0.35">
      <c r="J635" s="5"/>
    </row>
    <row r="636" spans="10:10" x14ac:dyDescent="0.35">
      <c r="J636" s="5"/>
    </row>
    <row r="637" spans="10:10" x14ac:dyDescent="0.35">
      <c r="J637" s="5"/>
    </row>
    <row r="638" spans="10:10" x14ac:dyDescent="0.35">
      <c r="J638" s="5"/>
    </row>
    <row r="639" spans="10:10" x14ac:dyDescent="0.35">
      <c r="J639" s="5"/>
    </row>
    <row r="640" spans="10:10" x14ac:dyDescent="0.35">
      <c r="J640" s="5"/>
    </row>
    <row r="641" spans="10:10" x14ac:dyDescent="0.35">
      <c r="J641" s="5"/>
    </row>
    <row r="642" spans="10:10" x14ac:dyDescent="0.35">
      <c r="J642" s="5"/>
    </row>
    <row r="643" spans="10:10" x14ac:dyDescent="0.35">
      <c r="J643" s="5"/>
    </row>
    <row r="644" spans="10:10" x14ac:dyDescent="0.35">
      <c r="J644" s="5"/>
    </row>
    <row r="645" spans="10:10" x14ac:dyDescent="0.35">
      <c r="J645" s="5"/>
    </row>
    <row r="646" spans="10:10" x14ac:dyDescent="0.35">
      <c r="J646" s="5"/>
    </row>
    <row r="647" spans="10:10" x14ac:dyDescent="0.35">
      <c r="J647" s="5"/>
    </row>
    <row r="648" spans="10:10" x14ac:dyDescent="0.35">
      <c r="J648" s="5"/>
    </row>
    <row r="649" spans="10:10" x14ac:dyDescent="0.35">
      <c r="J649" s="5"/>
    </row>
    <row r="650" spans="10:10" x14ac:dyDescent="0.35">
      <c r="J650" s="5"/>
    </row>
    <row r="651" spans="10:10" x14ac:dyDescent="0.35">
      <c r="J651" s="5"/>
    </row>
    <row r="652" spans="10:10" x14ac:dyDescent="0.35">
      <c r="J652" s="5"/>
    </row>
    <row r="653" spans="10:10" x14ac:dyDescent="0.35">
      <c r="J653" s="5"/>
    </row>
    <row r="654" spans="10:10" x14ac:dyDescent="0.35">
      <c r="J654" s="5"/>
    </row>
    <row r="655" spans="10:10" x14ac:dyDescent="0.35">
      <c r="J655" s="5"/>
    </row>
    <row r="656" spans="10:10" x14ac:dyDescent="0.35">
      <c r="J656" s="5"/>
    </row>
    <row r="657" spans="10:10" x14ac:dyDescent="0.35">
      <c r="J657" s="5"/>
    </row>
    <row r="658" spans="10:10" x14ac:dyDescent="0.35">
      <c r="J658" s="5"/>
    </row>
    <row r="659" spans="10:10" x14ac:dyDescent="0.35">
      <c r="J659" s="5"/>
    </row>
    <row r="660" spans="10:10" x14ac:dyDescent="0.35">
      <c r="J660" s="5"/>
    </row>
    <row r="661" spans="10:10" x14ac:dyDescent="0.35">
      <c r="J661" s="5"/>
    </row>
    <row r="662" spans="10:10" x14ac:dyDescent="0.35">
      <c r="J662" s="5"/>
    </row>
    <row r="663" spans="10:10" x14ac:dyDescent="0.35">
      <c r="J663" s="5"/>
    </row>
    <row r="664" spans="10:10" x14ac:dyDescent="0.35">
      <c r="J664" s="5"/>
    </row>
    <row r="665" spans="10:10" x14ac:dyDescent="0.35">
      <c r="J665" s="5"/>
    </row>
    <row r="666" spans="10:10" x14ac:dyDescent="0.35">
      <c r="J666" s="5"/>
    </row>
    <row r="667" spans="10:10" x14ac:dyDescent="0.35">
      <c r="J667" s="5"/>
    </row>
    <row r="668" spans="10:10" x14ac:dyDescent="0.35">
      <c r="J668" s="5"/>
    </row>
    <row r="669" spans="10:10" x14ac:dyDescent="0.35">
      <c r="J669" s="5"/>
    </row>
    <row r="670" spans="10:10" x14ac:dyDescent="0.35">
      <c r="J670" s="5"/>
    </row>
    <row r="671" spans="10:10" x14ac:dyDescent="0.35">
      <c r="J671" s="5"/>
    </row>
    <row r="672" spans="10:10" x14ac:dyDescent="0.35">
      <c r="J672" s="5"/>
    </row>
    <row r="673" spans="10:10" x14ac:dyDescent="0.35">
      <c r="J673" s="5"/>
    </row>
    <row r="674" spans="10:10" x14ac:dyDescent="0.35">
      <c r="J674" s="5"/>
    </row>
    <row r="675" spans="10:10" x14ac:dyDescent="0.35">
      <c r="J675" s="5"/>
    </row>
    <row r="676" spans="10:10" x14ac:dyDescent="0.35">
      <c r="J676" s="5"/>
    </row>
    <row r="677" spans="10:10" x14ac:dyDescent="0.35">
      <c r="J677" s="5"/>
    </row>
    <row r="678" spans="10:10" x14ac:dyDescent="0.35">
      <c r="J678" s="5"/>
    </row>
    <row r="679" spans="10:10" x14ac:dyDescent="0.35">
      <c r="J679" s="5"/>
    </row>
    <row r="680" spans="10:10" x14ac:dyDescent="0.35">
      <c r="J680" s="5"/>
    </row>
    <row r="681" spans="10:10" x14ac:dyDescent="0.35">
      <c r="J681" s="5"/>
    </row>
    <row r="682" spans="10:10" x14ac:dyDescent="0.35">
      <c r="J682" s="5"/>
    </row>
    <row r="683" spans="10:10" x14ac:dyDescent="0.35">
      <c r="J683" s="5"/>
    </row>
    <row r="684" spans="10:10" x14ac:dyDescent="0.35">
      <c r="J684" s="5"/>
    </row>
    <row r="685" spans="10:10" x14ac:dyDescent="0.35">
      <c r="J685" s="5"/>
    </row>
    <row r="686" spans="10:10" x14ac:dyDescent="0.35">
      <c r="J686" s="5"/>
    </row>
    <row r="687" spans="10:10" x14ac:dyDescent="0.35">
      <c r="J687" s="5"/>
    </row>
    <row r="688" spans="10:10" x14ac:dyDescent="0.35">
      <c r="J688" s="5"/>
    </row>
    <row r="689" spans="10:10" x14ac:dyDescent="0.35">
      <c r="J689" s="5"/>
    </row>
    <row r="690" spans="10:10" x14ac:dyDescent="0.35">
      <c r="J690" s="5"/>
    </row>
    <row r="691" spans="10:10" x14ac:dyDescent="0.35">
      <c r="J691" s="5"/>
    </row>
    <row r="692" spans="10:10" x14ac:dyDescent="0.35">
      <c r="J692" s="5"/>
    </row>
    <row r="693" spans="10:10" x14ac:dyDescent="0.35">
      <c r="J693" s="5"/>
    </row>
    <row r="694" spans="10:10" x14ac:dyDescent="0.35">
      <c r="J694" s="5"/>
    </row>
    <row r="695" spans="10:10" x14ac:dyDescent="0.35">
      <c r="J695" s="5"/>
    </row>
    <row r="696" spans="10:10" x14ac:dyDescent="0.35">
      <c r="J696" s="5"/>
    </row>
    <row r="697" spans="10:10" x14ac:dyDescent="0.35">
      <c r="J697" s="5"/>
    </row>
    <row r="698" spans="10:10" x14ac:dyDescent="0.35">
      <c r="J698" s="5"/>
    </row>
    <row r="699" spans="10:10" x14ac:dyDescent="0.35">
      <c r="J699" s="5"/>
    </row>
    <row r="700" spans="10:10" x14ac:dyDescent="0.35">
      <c r="J700" s="5"/>
    </row>
    <row r="701" spans="10:10" x14ac:dyDescent="0.35">
      <c r="J701" s="5"/>
    </row>
    <row r="702" spans="10:10" x14ac:dyDescent="0.35">
      <c r="J702" s="5"/>
    </row>
    <row r="703" spans="10:10" x14ac:dyDescent="0.35">
      <c r="J703" s="5"/>
    </row>
    <row r="704" spans="10:10" x14ac:dyDescent="0.35">
      <c r="J704" s="5"/>
    </row>
    <row r="705" spans="10:10" x14ac:dyDescent="0.35">
      <c r="J705" s="5"/>
    </row>
    <row r="706" spans="10:10" x14ac:dyDescent="0.35">
      <c r="J706" s="5"/>
    </row>
    <row r="707" spans="10:10" x14ac:dyDescent="0.35">
      <c r="J707" s="5"/>
    </row>
    <row r="708" spans="10:10" x14ac:dyDescent="0.35">
      <c r="J708" s="5"/>
    </row>
    <row r="709" spans="10:10" x14ac:dyDescent="0.35">
      <c r="J709" s="5"/>
    </row>
    <row r="710" spans="10:10" x14ac:dyDescent="0.35">
      <c r="J710" s="5"/>
    </row>
    <row r="711" spans="10:10" x14ac:dyDescent="0.35">
      <c r="J711" s="5"/>
    </row>
    <row r="712" spans="10:10" x14ac:dyDescent="0.35">
      <c r="J712" s="5"/>
    </row>
    <row r="713" spans="10:10" x14ac:dyDescent="0.35">
      <c r="J713" s="5"/>
    </row>
    <row r="714" spans="10:10" x14ac:dyDescent="0.35">
      <c r="J714" s="5"/>
    </row>
    <row r="715" spans="10:10" x14ac:dyDescent="0.35">
      <c r="J715" s="5"/>
    </row>
    <row r="716" spans="10:10" x14ac:dyDescent="0.35">
      <c r="J716" s="5"/>
    </row>
    <row r="717" spans="10:10" x14ac:dyDescent="0.35">
      <c r="J717" s="5"/>
    </row>
    <row r="718" spans="10:10" x14ac:dyDescent="0.35">
      <c r="J718" s="5"/>
    </row>
    <row r="719" spans="10:10" x14ac:dyDescent="0.35">
      <c r="J719" s="5"/>
    </row>
    <row r="720" spans="10:10" x14ac:dyDescent="0.35">
      <c r="J720" s="5"/>
    </row>
    <row r="721" spans="10:10" x14ac:dyDescent="0.35">
      <c r="J721" s="5"/>
    </row>
    <row r="722" spans="10:10" x14ac:dyDescent="0.35">
      <c r="J722" s="5"/>
    </row>
    <row r="723" spans="10:10" x14ac:dyDescent="0.35">
      <c r="J723" s="5"/>
    </row>
    <row r="724" spans="10:10" x14ac:dyDescent="0.35">
      <c r="J724" s="5"/>
    </row>
    <row r="725" spans="10:10" x14ac:dyDescent="0.35">
      <c r="J725" s="5"/>
    </row>
    <row r="726" spans="10:10" x14ac:dyDescent="0.35">
      <c r="J726" s="5"/>
    </row>
    <row r="727" spans="10:10" x14ac:dyDescent="0.35">
      <c r="J727" s="5"/>
    </row>
    <row r="728" spans="10:10" x14ac:dyDescent="0.35">
      <c r="J728" s="5"/>
    </row>
    <row r="729" spans="10:10" x14ac:dyDescent="0.35">
      <c r="J729" s="5"/>
    </row>
    <row r="730" spans="10:10" x14ac:dyDescent="0.35">
      <c r="J730" s="5"/>
    </row>
    <row r="731" spans="10:10" x14ac:dyDescent="0.35">
      <c r="J731" s="5"/>
    </row>
    <row r="732" spans="10:10" x14ac:dyDescent="0.35">
      <c r="J732" s="5"/>
    </row>
    <row r="733" spans="10:10" x14ac:dyDescent="0.35">
      <c r="J733" s="5"/>
    </row>
    <row r="734" spans="10:10" x14ac:dyDescent="0.35">
      <c r="J734" s="5"/>
    </row>
    <row r="735" spans="10:10" x14ac:dyDescent="0.35">
      <c r="J735" s="5"/>
    </row>
    <row r="736" spans="10:10" x14ac:dyDescent="0.35">
      <c r="J736" s="5"/>
    </row>
    <row r="737" spans="10:10" x14ac:dyDescent="0.35">
      <c r="J737" s="5"/>
    </row>
    <row r="738" spans="10:10" x14ac:dyDescent="0.35">
      <c r="J738" s="5"/>
    </row>
    <row r="739" spans="10:10" x14ac:dyDescent="0.35">
      <c r="J739" s="5"/>
    </row>
    <row r="740" spans="10:10" x14ac:dyDescent="0.35">
      <c r="J740" s="5"/>
    </row>
    <row r="741" spans="10:10" x14ac:dyDescent="0.35">
      <c r="J741" s="5"/>
    </row>
    <row r="742" spans="10:10" x14ac:dyDescent="0.35">
      <c r="J742" s="5"/>
    </row>
    <row r="743" spans="10:10" x14ac:dyDescent="0.35">
      <c r="J743" s="5"/>
    </row>
    <row r="744" spans="10:10" x14ac:dyDescent="0.35">
      <c r="J744" s="5"/>
    </row>
    <row r="745" spans="10:10" x14ac:dyDescent="0.35">
      <c r="J745" s="5"/>
    </row>
    <row r="746" spans="10:10" x14ac:dyDescent="0.35">
      <c r="J746" s="5"/>
    </row>
    <row r="747" spans="10:10" x14ac:dyDescent="0.35">
      <c r="J747" s="5"/>
    </row>
    <row r="748" spans="10:10" x14ac:dyDescent="0.35">
      <c r="J748" s="5"/>
    </row>
    <row r="749" spans="10:10" x14ac:dyDescent="0.35">
      <c r="J749" s="5"/>
    </row>
    <row r="750" spans="10:10" x14ac:dyDescent="0.35">
      <c r="J750" s="5"/>
    </row>
    <row r="751" spans="10:10" x14ac:dyDescent="0.35">
      <c r="J751" s="5"/>
    </row>
    <row r="752" spans="10:10" x14ac:dyDescent="0.35">
      <c r="J752" s="5"/>
    </row>
    <row r="753" spans="10:10" x14ac:dyDescent="0.35">
      <c r="J753" s="5"/>
    </row>
    <row r="754" spans="10:10" x14ac:dyDescent="0.35">
      <c r="J754" s="5"/>
    </row>
    <row r="755" spans="10:10" x14ac:dyDescent="0.35">
      <c r="J755" s="5"/>
    </row>
    <row r="756" spans="10:10" x14ac:dyDescent="0.35">
      <c r="J756" s="5"/>
    </row>
    <row r="757" spans="10:10" x14ac:dyDescent="0.35">
      <c r="J757" s="5"/>
    </row>
    <row r="758" spans="10:10" x14ac:dyDescent="0.35">
      <c r="J758" s="5"/>
    </row>
    <row r="759" spans="10:10" x14ac:dyDescent="0.35">
      <c r="J759" s="5"/>
    </row>
    <row r="760" spans="10:10" x14ac:dyDescent="0.35">
      <c r="J760" s="5"/>
    </row>
    <row r="761" spans="10:10" x14ac:dyDescent="0.35">
      <c r="J761" s="5"/>
    </row>
    <row r="762" spans="10:10" x14ac:dyDescent="0.35">
      <c r="J762" s="5"/>
    </row>
    <row r="763" spans="10:10" x14ac:dyDescent="0.35">
      <c r="J763" s="5"/>
    </row>
    <row r="764" spans="10:10" x14ac:dyDescent="0.35">
      <c r="J764" s="5"/>
    </row>
    <row r="765" spans="10:10" x14ac:dyDescent="0.35">
      <c r="J765" s="5"/>
    </row>
    <row r="766" spans="10:10" x14ac:dyDescent="0.35">
      <c r="J766" s="5"/>
    </row>
    <row r="767" spans="10:10" x14ac:dyDescent="0.35">
      <c r="J767" s="5"/>
    </row>
    <row r="768" spans="10:10" x14ac:dyDescent="0.35">
      <c r="J768" s="5"/>
    </row>
    <row r="769" spans="10:10" x14ac:dyDescent="0.35">
      <c r="J769" s="5"/>
    </row>
    <row r="770" spans="10:10" x14ac:dyDescent="0.35">
      <c r="J770" s="5"/>
    </row>
    <row r="771" spans="10:10" x14ac:dyDescent="0.35">
      <c r="J771" s="5"/>
    </row>
    <row r="772" spans="10:10" x14ac:dyDescent="0.35">
      <c r="J772" s="5"/>
    </row>
    <row r="773" spans="10:10" x14ac:dyDescent="0.35">
      <c r="J773" s="5"/>
    </row>
    <row r="774" spans="10:10" x14ac:dyDescent="0.35">
      <c r="J774" s="5"/>
    </row>
    <row r="775" spans="10:10" x14ac:dyDescent="0.35">
      <c r="J775" s="5"/>
    </row>
    <row r="776" spans="10:10" x14ac:dyDescent="0.35">
      <c r="J776" s="5"/>
    </row>
    <row r="777" spans="10:10" x14ac:dyDescent="0.35">
      <c r="J777" s="5"/>
    </row>
    <row r="778" spans="10:10" x14ac:dyDescent="0.35">
      <c r="J778" s="5"/>
    </row>
    <row r="779" spans="10:10" x14ac:dyDescent="0.35">
      <c r="J779" s="5"/>
    </row>
    <row r="780" spans="10:10" x14ac:dyDescent="0.35">
      <c r="J780" s="5"/>
    </row>
    <row r="781" spans="10:10" x14ac:dyDescent="0.35">
      <c r="J781" s="5"/>
    </row>
    <row r="782" spans="10:10" x14ac:dyDescent="0.35">
      <c r="J782" s="5"/>
    </row>
    <row r="783" spans="10:10" x14ac:dyDescent="0.35">
      <c r="J783" s="5"/>
    </row>
    <row r="784" spans="10:10" x14ac:dyDescent="0.35">
      <c r="J784" s="5"/>
    </row>
    <row r="785" spans="10:10" x14ac:dyDescent="0.35">
      <c r="J785" s="5"/>
    </row>
    <row r="786" spans="10:10" x14ac:dyDescent="0.35">
      <c r="J786" s="5"/>
    </row>
    <row r="787" spans="10:10" x14ac:dyDescent="0.35">
      <c r="J787" s="5"/>
    </row>
    <row r="788" spans="10:10" x14ac:dyDescent="0.35">
      <c r="J788" s="5"/>
    </row>
    <row r="789" spans="10:10" x14ac:dyDescent="0.35">
      <c r="J789" s="5"/>
    </row>
    <row r="790" spans="10:10" x14ac:dyDescent="0.35">
      <c r="J790" s="5"/>
    </row>
    <row r="791" spans="10:10" x14ac:dyDescent="0.35">
      <c r="J791" s="5"/>
    </row>
    <row r="792" spans="10:10" x14ac:dyDescent="0.35">
      <c r="J792" s="5"/>
    </row>
    <row r="793" spans="10:10" x14ac:dyDescent="0.35">
      <c r="J793" s="5"/>
    </row>
    <row r="794" spans="10:10" x14ac:dyDescent="0.35">
      <c r="J794" s="5"/>
    </row>
    <row r="795" spans="10:10" x14ac:dyDescent="0.35">
      <c r="J795" s="5"/>
    </row>
    <row r="796" spans="10:10" x14ac:dyDescent="0.35">
      <c r="J796" s="5"/>
    </row>
    <row r="797" spans="10:10" x14ac:dyDescent="0.35">
      <c r="J797" s="5"/>
    </row>
    <row r="798" spans="10:10" x14ac:dyDescent="0.35">
      <c r="J798" s="5"/>
    </row>
    <row r="799" spans="10:10" x14ac:dyDescent="0.35">
      <c r="J799" s="5"/>
    </row>
    <row r="800" spans="10:10" x14ac:dyDescent="0.35">
      <c r="J800" s="5"/>
    </row>
    <row r="801" spans="10:10" x14ac:dyDescent="0.35">
      <c r="J801" s="5"/>
    </row>
    <row r="802" spans="10:10" x14ac:dyDescent="0.35">
      <c r="J802" s="5"/>
    </row>
    <row r="803" spans="10:10" x14ac:dyDescent="0.35">
      <c r="J803" s="5"/>
    </row>
    <row r="804" spans="10:10" x14ac:dyDescent="0.35">
      <c r="J804" s="5"/>
    </row>
    <row r="805" spans="10:10" x14ac:dyDescent="0.35">
      <c r="J805" s="5"/>
    </row>
    <row r="806" spans="10:10" x14ac:dyDescent="0.35">
      <c r="J806" s="5"/>
    </row>
    <row r="807" spans="10:10" x14ac:dyDescent="0.35">
      <c r="J807" s="5"/>
    </row>
    <row r="808" spans="10:10" x14ac:dyDescent="0.35">
      <c r="J808" s="5"/>
    </row>
    <row r="809" spans="10:10" x14ac:dyDescent="0.35">
      <c r="J809" s="5"/>
    </row>
    <row r="810" spans="10:10" x14ac:dyDescent="0.35">
      <c r="J810" s="5"/>
    </row>
    <row r="811" spans="10:10" x14ac:dyDescent="0.35">
      <c r="J811" s="5"/>
    </row>
    <row r="812" spans="10:10" x14ac:dyDescent="0.35">
      <c r="J812" s="5"/>
    </row>
    <row r="813" spans="10:10" x14ac:dyDescent="0.35">
      <c r="J813" s="5"/>
    </row>
    <row r="814" spans="10:10" x14ac:dyDescent="0.35">
      <c r="J814" s="5"/>
    </row>
    <row r="815" spans="10:10" x14ac:dyDescent="0.35">
      <c r="J815" s="5"/>
    </row>
    <row r="816" spans="10:10" x14ac:dyDescent="0.35">
      <c r="J816" s="5"/>
    </row>
    <row r="817" spans="10:10" x14ac:dyDescent="0.35">
      <c r="J817" s="5"/>
    </row>
    <row r="818" spans="10:10" x14ac:dyDescent="0.35">
      <c r="J818" s="5"/>
    </row>
    <row r="819" spans="10:10" x14ac:dyDescent="0.35">
      <c r="J819" s="5"/>
    </row>
    <row r="820" spans="10:10" x14ac:dyDescent="0.35">
      <c r="J820" s="5"/>
    </row>
    <row r="821" spans="10:10" x14ac:dyDescent="0.35">
      <c r="J821" s="5"/>
    </row>
    <row r="822" spans="10:10" x14ac:dyDescent="0.35">
      <c r="J822" s="5"/>
    </row>
    <row r="823" spans="10:10" x14ac:dyDescent="0.35">
      <c r="J823" s="5"/>
    </row>
    <row r="824" spans="10:10" x14ac:dyDescent="0.35">
      <c r="J824" s="5"/>
    </row>
    <row r="825" spans="10:10" x14ac:dyDescent="0.35">
      <c r="J825" s="5"/>
    </row>
    <row r="826" spans="10:10" x14ac:dyDescent="0.35">
      <c r="J826" s="5"/>
    </row>
    <row r="827" spans="10:10" x14ac:dyDescent="0.35">
      <c r="J827" s="5"/>
    </row>
    <row r="828" spans="10:10" x14ac:dyDescent="0.35">
      <c r="J828" s="5"/>
    </row>
    <row r="829" spans="10:10" x14ac:dyDescent="0.35">
      <c r="J829" s="5"/>
    </row>
    <row r="830" spans="10:10" x14ac:dyDescent="0.35">
      <c r="J830" s="5"/>
    </row>
    <row r="831" spans="10:10" x14ac:dyDescent="0.35">
      <c r="J831" s="5"/>
    </row>
    <row r="832" spans="10:10" x14ac:dyDescent="0.35">
      <c r="J832" s="5"/>
    </row>
    <row r="833" spans="10:10" x14ac:dyDescent="0.35">
      <c r="J833" s="5"/>
    </row>
    <row r="834" spans="10:10" x14ac:dyDescent="0.35">
      <c r="J834" s="5"/>
    </row>
    <row r="835" spans="10:10" x14ac:dyDescent="0.35">
      <c r="J835" s="5"/>
    </row>
    <row r="836" spans="10:10" x14ac:dyDescent="0.35">
      <c r="J836" s="5"/>
    </row>
    <row r="837" spans="10:10" x14ac:dyDescent="0.35">
      <c r="J837" s="5"/>
    </row>
    <row r="838" spans="10:10" x14ac:dyDescent="0.35">
      <c r="J838" s="5"/>
    </row>
    <row r="839" spans="10:10" x14ac:dyDescent="0.35">
      <c r="J839" s="5"/>
    </row>
    <row r="840" spans="10:10" x14ac:dyDescent="0.35">
      <c r="J840" s="5"/>
    </row>
    <row r="841" spans="10:10" x14ac:dyDescent="0.35">
      <c r="J841" s="5"/>
    </row>
    <row r="842" spans="10:10" x14ac:dyDescent="0.35">
      <c r="J842" s="5"/>
    </row>
    <row r="843" spans="10:10" x14ac:dyDescent="0.35">
      <c r="J843" s="5"/>
    </row>
    <row r="844" spans="10:10" x14ac:dyDescent="0.35">
      <c r="J844" s="5"/>
    </row>
    <row r="845" spans="10:10" x14ac:dyDescent="0.35">
      <c r="J845" s="5"/>
    </row>
    <row r="846" spans="10:10" x14ac:dyDescent="0.35">
      <c r="J846" s="5"/>
    </row>
    <row r="847" spans="10:10" x14ac:dyDescent="0.35">
      <c r="J847" s="5"/>
    </row>
    <row r="848" spans="10:10" x14ac:dyDescent="0.35">
      <c r="J848" s="5"/>
    </row>
    <row r="849" spans="10:10" x14ac:dyDescent="0.35">
      <c r="J849" s="5"/>
    </row>
    <row r="850" spans="10:10" x14ac:dyDescent="0.35">
      <c r="J850" s="5"/>
    </row>
    <row r="851" spans="10:10" x14ac:dyDescent="0.35">
      <c r="J851" s="5"/>
    </row>
    <row r="852" spans="10:10" x14ac:dyDescent="0.35">
      <c r="J852" s="5"/>
    </row>
    <row r="853" spans="10:10" x14ac:dyDescent="0.35">
      <c r="J853" s="5"/>
    </row>
    <row r="854" spans="10:10" x14ac:dyDescent="0.35">
      <c r="J854" s="5"/>
    </row>
    <row r="855" spans="10:10" x14ac:dyDescent="0.35">
      <c r="J855" s="5"/>
    </row>
    <row r="856" spans="10:10" x14ac:dyDescent="0.35">
      <c r="J856" s="5"/>
    </row>
    <row r="857" spans="10:10" x14ac:dyDescent="0.35">
      <c r="J857" s="5"/>
    </row>
    <row r="858" spans="10:10" x14ac:dyDescent="0.35">
      <c r="J858" s="5"/>
    </row>
    <row r="859" spans="10:10" x14ac:dyDescent="0.35">
      <c r="J859" s="5"/>
    </row>
    <row r="860" spans="10:10" x14ac:dyDescent="0.35">
      <c r="J860" s="5"/>
    </row>
    <row r="861" spans="10:10" x14ac:dyDescent="0.35">
      <c r="J861" s="5"/>
    </row>
    <row r="862" spans="10:10" x14ac:dyDescent="0.35">
      <c r="J862" s="5"/>
    </row>
    <row r="863" spans="10:10" x14ac:dyDescent="0.35">
      <c r="J863" s="5"/>
    </row>
    <row r="864" spans="10:10" x14ac:dyDescent="0.35">
      <c r="J864" s="5"/>
    </row>
    <row r="865" spans="10:10" x14ac:dyDescent="0.35">
      <c r="J865" s="5"/>
    </row>
    <row r="866" spans="10:10" x14ac:dyDescent="0.35">
      <c r="J866" s="5"/>
    </row>
    <row r="867" spans="10:10" x14ac:dyDescent="0.35">
      <c r="J867" s="5"/>
    </row>
    <row r="868" spans="10:10" x14ac:dyDescent="0.35">
      <c r="J868" s="5"/>
    </row>
    <row r="869" spans="10:10" x14ac:dyDescent="0.35">
      <c r="J869" s="5"/>
    </row>
    <row r="870" spans="10:10" x14ac:dyDescent="0.35">
      <c r="J870" s="5"/>
    </row>
    <row r="871" spans="10:10" x14ac:dyDescent="0.35">
      <c r="J871" s="5"/>
    </row>
    <row r="872" spans="10:10" x14ac:dyDescent="0.35">
      <c r="J872" s="5"/>
    </row>
    <row r="873" spans="10:10" x14ac:dyDescent="0.35">
      <c r="J873" s="5"/>
    </row>
    <row r="874" spans="10:10" x14ac:dyDescent="0.35">
      <c r="J874" s="5"/>
    </row>
    <row r="875" spans="10:10" x14ac:dyDescent="0.35">
      <c r="J875" s="5"/>
    </row>
    <row r="876" spans="10:10" x14ac:dyDescent="0.35">
      <c r="J876" s="5"/>
    </row>
    <row r="877" spans="10:10" x14ac:dyDescent="0.35">
      <c r="J877" s="5"/>
    </row>
    <row r="878" spans="10:10" x14ac:dyDescent="0.35">
      <c r="J878" s="5"/>
    </row>
    <row r="879" spans="10:10" x14ac:dyDescent="0.35">
      <c r="J879" s="5"/>
    </row>
    <row r="880" spans="10:10" x14ac:dyDescent="0.35">
      <c r="J880" s="5"/>
    </row>
    <row r="881" spans="10:10" x14ac:dyDescent="0.35">
      <c r="J881" s="5"/>
    </row>
    <row r="882" spans="10:10" x14ac:dyDescent="0.35">
      <c r="J882" s="5"/>
    </row>
    <row r="883" spans="10:10" x14ac:dyDescent="0.35">
      <c r="J883" s="5"/>
    </row>
    <row r="884" spans="10:10" x14ac:dyDescent="0.35">
      <c r="J884" s="5"/>
    </row>
    <row r="885" spans="10:10" x14ac:dyDescent="0.35">
      <c r="J885" s="5"/>
    </row>
    <row r="886" spans="10:10" x14ac:dyDescent="0.35">
      <c r="J886" s="5"/>
    </row>
    <row r="887" spans="10:10" x14ac:dyDescent="0.35">
      <c r="J887" s="5"/>
    </row>
    <row r="888" spans="10:10" x14ac:dyDescent="0.35">
      <c r="J888" s="5"/>
    </row>
    <row r="889" spans="10:10" x14ac:dyDescent="0.35">
      <c r="J889" s="5"/>
    </row>
    <row r="890" spans="10:10" x14ac:dyDescent="0.35">
      <c r="J890" s="5"/>
    </row>
    <row r="891" spans="10:10" x14ac:dyDescent="0.35">
      <c r="J891" s="5"/>
    </row>
    <row r="892" spans="10:10" x14ac:dyDescent="0.35">
      <c r="J892" s="5"/>
    </row>
    <row r="893" spans="10:10" x14ac:dyDescent="0.35">
      <c r="J893" s="5"/>
    </row>
    <row r="894" spans="10:10" x14ac:dyDescent="0.35">
      <c r="J894" s="5"/>
    </row>
    <row r="895" spans="10:10" x14ac:dyDescent="0.35">
      <c r="J895" s="5"/>
    </row>
    <row r="896" spans="10:10" x14ac:dyDescent="0.35">
      <c r="J896" s="5"/>
    </row>
    <row r="897" spans="10:10" x14ac:dyDescent="0.35">
      <c r="J897" s="5"/>
    </row>
    <row r="898" spans="10:10" x14ac:dyDescent="0.35">
      <c r="J898" s="5"/>
    </row>
    <row r="899" spans="10:10" x14ac:dyDescent="0.35">
      <c r="J899" s="5"/>
    </row>
    <row r="900" spans="10:10" x14ac:dyDescent="0.35">
      <c r="J900" s="5"/>
    </row>
    <row r="901" spans="10:10" x14ac:dyDescent="0.35">
      <c r="J901" s="5"/>
    </row>
    <row r="902" spans="10:10" x14ac:dyDescent="0.35">
      <c r="J902" s="5"/>
    </row>
    <row r="903" spans="10:10" x14ac:dyDescent="0.35">
      <c r="J903" s="5"/>
    </row>
    <row r="904" spans="10:10" x14ac:dyDescent="0.35">
      <c r="J904" s="5"/>
    </row>
    <row r="905" spans="10:10" x14ac:dyDescent="0.35">
      <c r="J905" s="5"/>
    </row>
    <row r="906" spans="10:10" x14ac:dyDescent="0.35">
      <c r="J906" s="5"/>
    </row>
    <row r="907" spans="10:10" x14ac:dyDescent="0.35">
      <c r="J907" s="5"/>
    </row>
    <row r="908" spans="10:10" x14ac:dyDescent="0.35">
      <c r="J908" s="5"/>
    </row>
    <row r="909" spans="10:10" x14ac:dyDescent="0.35">
      <c r="J909" s="5"/>
    </row>
    <row r="910" spans="10:10" x14ac:dyDescent="0.35">
      <c r="J910" s="5"/>
    </row>
    <row r="911" spans="10:10" x14ac:dyDescent="0.35">
      <c r="J911" s="5"/>
    </row>
    <row r="912" spans="10:10" x14ac:dyDescent="0.35">
      <c r="J912" s="5"/>
    </row>
    <row r="913" spans="10:10" x14ac:dyDescent="0.35">
      <c r="J913" s="5"/>
    </row>
    <row r="914" spans="10:10" x14ac:dyDescent="0.35">
      <c r="J914" s="5"/>
    </row>
    <row r="915" spans="10:10" x14ac:dyDescent="0.35">
      <c r="J915" s="5"/>
    </row>
    <row r="916" spans="10:10" x14ac:dyDescent="0.35">
      <c r="J916" s="5"/>
    </row>
    <row r="917" spans="10:10" x14ac:dyDescent="0.35">
      <c r="J917" s="5"/>
    </row>
    <row r="918" spans="10:10" x14ac:dyDescent="0.35">
      <c r="J918" s="5"/>
    </row>
    <row r="919" spans="10:10" x14ac:dyDescent="0.35">
      <c r="J919" s="5"/>
    </row>
    <row r="920" spans="10:10" x14ac:dyDescent="0.35">
      <c r="J920" s="5"/>
    </row>
    <row r="921" spans="10:10" x14ac:dyDescent="0.35">
      <c r="J921" s="5"/>
    </row>
    <row r="922" spans="10:10" x14ac:dyDescent="0.35">
      <c r="J922" s="5"/>
    </row>
    <row r="923" spans="10:10" x14ac:dyDescent="0.35">
      <c r="J923" s="5"/>
    </row>
    <row r="924" spans="10:10" x14ac:dyDescent="0.35">
      <c r="J924" s="5"/>
    </row>
    <row r="925" spans="10:10" x14ac:dyDescent="0.35">
      <c r="J925" s="5"/>
    </row>
    <row r="926" spans="10:10" x14ac:dyDescent="0.35">
      <c r="J926" s="5"/>
    </row>
    <row r="927" spans="10:10" x14ac:dyDescent="0.35">
      <c r="J927" s="5"/>
    </row>
    <row r="928" spans="10:10" x14ac:dyDescent="0.35">
      <c r="J928" s="5"/>
    </row>
    <row r="929" spans="10:10" x14ac:dyDescent="0.35">
      <c r="J929" s="5"/>
    </row>
    <row r="930" spans="10:10" x14ac:dyDescent="0.35">
      <c r="J930" s="5"/>
    </row>
    <row r="931" spans="10:10" x14ac:dyDescent="0.35">
      <c r="J931" s="5"/>
    </row>
    <row r="932" spans="10:10" x14ac:dyDescent="0.35">
      <c r="J932" s="5"/>
    </row>
    <row r="933" spans="10:10" x14ac:dyDescent="0.35">
      <c r="J933" s="5"/>
    </row>
    <row r="934" spans="10:10" x14ac:dyDescent="0.35">
      <c r="J934" s="5"/>
    </row>
    <row r="935" spans="10:10" x14ac:dyDescent="0.35">
      <c r="J935" s="5"/>
    </row>
    <row r="936" spans="10:10" x14ac:dyDescent="0.35">
      <c r="J936" s="5"/>
    </row>
    <row r="937" spans="10:10" x14ac:dyDescent="0.35">
      <c r="J937" s="5"/>
    </row>
    <row r="938" spans="10:10" x14ac:dyDescent="0.35">
      <c r="J938" s="5"/>
    </row>
    <row r="939" spans="10:10" x14ac:dyDescent="0.35">
      <c r="J939" s="5"/>
    </row>
    <row r="940" spans="10:10" x14ac:dyDescent="0.35">
      <c r="J940" s="5"/>
    </row>
    <row r="941" spans="10:10" x14ac:dyDescent="0.35">
      <c r="J941" s="5"/>
    </row>
    <row r="942" spans="10:10" x14ac:dyDescent="0.35">
      <c r="J942" s="5"/>
    </row>
    <row r="943" spans="10:10" x14ac:dyDescent="0.35">
      <c r="J943" s="5"/>
    </row>
    <row r="944" spans="10:10" x14ac:dyDescent="0.35">
      <c r="J944" s="5"/>
    </row>
    <row r="945" spans="10:10" x14ac:dyDescent="0.35">
      <c r="J945" s="5"/>
    </row>
    <row r="946" spans="10:10" x14ac:dyDescent="0.35">
      <c r="J946" s="5"/>
    </row>
    <row r="947" spans="10:10" x14ac:dyDescent="0.35">
      <c r="J947" s="5"/>
    </row>
    <row r="948" spans="10:10" x14ac:dyDescent="0.35">
      <c r="J948" s="5"/>
    </row>
    <row r="949" spans="10:10" x14ac:dyDescent="0.35">
      <c r="J949" s="5"/>
    </row>
    <row r="950" spans="10:10" x14ac:dyDescent="0.35">
      <c r="J950" s="5"/>
    </row>
    <row r="951" spans="10:10" x14ac:dyDescent="0.35">
      <c r="J951" s="5"/>
    </row>
    <row r="952" spans="10:10" x14ac:dyDescent="0.35">
      <c r="J952" s="5"/>
    </row>
    <row r="953" spans="10:10" x14ac:dyDescent="0.35">
      <c r="J953" s="5"/>
    </row>
    <row r="954" spans="10:10" x14ac:dyDescent="0.35">
      <c r="J954" s="5"/>
    </row>
    <row r="955" spans="10:10" x14ac:dyDescent="0.35">
      <c r="J955" s="5"/>
    </row>
    <row r="956" spans="10:10" x14ac:dyDescent="0.35">
      <c r="J956" s="5"/>
    </row>
    <row r="957" spans="10:10" x14ac:dyDescent="0.35">
      <c r="J957" s="5"/>
    </row>
    <row r="958" spans="10:10" x14ac:dyDescent="0.35">
      <c r="J958" s="5"/>
    </row>
    <row r="959" spans="10:10" x14ac:dyDescent="0.35">
      <c r="J959" s="5"/>
    </row>
    <row r="960" spans="10:10" x14ac:dyDescent="0.35">
      <c r="J960" s="5"/>
    </row>
    <row r="961" spans="10:10" x14ac:dyDescent="0.35">
      <c r="J961" s="5"/>
    </row>
    <row r="962" spans="10:10" x14ac:dyDescent="0.35">
      <c r="J962" s="5"/>
    </row>
    <row r="963" spans="10:10" x14ac:dyDescent="0.35">
      <c r="J963" s="5"/>
    </row>
    <row r="964" spans="10:10" x14ac:dyDescent="0.35">
      <c r="J964" s="5"/>
    </row>
    <row r="965" spans="10:10" x14ac:dyDescent="0.35">
      <c r="J965" s="5"/>
    </row>
    <row r="966" spans="10:10" x14ac:dyDescent="0.35">
      <c r="J966" s="5"/>
    </row>
    <row r="967" spans="10:10" x14ac:dyDescent="0.35">
      <c r="J967" s="5"/>
    </row>
    <row r="968" spans="10:10" x14ac:dyDescent="0.35">
      <c r="J968" s="5"/>
    </row>
    <row r="969" spans="10:10" x14ac:dyDescent="0.35">
      <c r="J969" s="5"/>
    </row>
    <row r="970" spans="10:10" x14ac:dyDescent="0.35">
      <c r="J970" s="5"/>
    </row>
    <row r="971" spans="10:10" x14ac:dyDescent="0.35">
      <c r="J971" s="5"/>
    </row>
    <row r="972" spans="10:10" x14ac:dyDescent="0.35">
      <c r="J972" s="5"/>
    </row>
    <row r="973" spans="10:10" x14ac:dyDescent="0.35">
      <c r="J973" s="5"/>
    </row>
    <row r="974" spans="10:10" x14ac:dyDescent="0.35">
      <c r="J974" s="5"/>
    </row>
    <row r="975" spans="10:10" x14ac:dyDescent="0.35">
      <c r="J975" s="5"/>
    </row>
    <row r="976" spans="10:10" x14ac:dyDescent="0.35">
      <c r="J976" s="5"/>
    </row>
    <row r="977" spans="10:10" x14ac:dyDescent="0.35">
      <c r="J977" s="5"/>
    </row>
    <row r="978" spans="10:10" x14ac:dyDescent="0.35">
      <c r="J978" s="5"/>
    </row>
    <row r="979" spans="10:10" x14ac:dyDescent="0.35">
      <c r="J979" s="5"/>
    </row>
    <row r="980" spans="10:10" x14ac:dyDescent="0.35">
      <c r="J980" s="5"/>
    </row>
    <row r="981" spans="10:10" x14ac:dyDescent="0.35">
      <c r="J981" s="5"/>
    </row>
    <row r="982" spans="10:10" x14ac:dyDescent="0.35">
      <c r="J982" s="5"/>
    </row>
    <row r="983" spans="10:10" x14ac:dyDescent="0.35">
      <c r="J983" s="5"/>
    </row>
    <row r="984" spans="10:10" x14ac:dyDescent="0.35">
      <c r="J984" s="5"/>
    </row>
    <row r="985" spans="10:10" x14ac:dyDescent="0.35">
      <c r="J985" s="5"/>
    </row>
    <row r="986" spans="10:10" x14ac:dyDescent="0.35">
      <c r="J986" s="5"/>
    </row>
    <row r="987" spans="10:10" x14ac:dyDescent="0.35">
      <c r="J987" s="5"/>
    </row>
    <row r="988" spans="10:10" x14ac:dyDescent="0.35">
      <c r="J988" s="5"/>
    </row>
    <row r="989" spans="10:10" x14ac:dyDescent="0.35">
      <c r="J989" s="5"/>
    </row>
    <row r="990" spans="10:10" x14ac:dyDescent="0.35">
      <c r="J990" s="5"/>
    </row>
    <row r="991" spans="10:10" x14ac:dyDescent="0.35">
      <c r="J991" s="5"/>
    </row>
    <row r="992" spans="10:10" x14ac:dyDescent="0.35">
      <c r="J992" s="5"/>
    </row>
    <row r="993" spans="10:10" x14ac:dyDescent="0.35">
      <c r="J993" s="5"/>
    </row>
    <row r="994" spans="10:10" x14ac:dyDescent="0.35">
      <c r="J994" s="5"/>
    </row>
    <row r="995" spans="10:10" x14ac:dyDescent="0.35">
      <c r="J995" s="5"/>
    </row>
    <row r="996" spans="10:10" x14ac:dyDescent="0.35">
      <c r="J996" s="5"/>
    </row>
    <row r="997" spans="10:10" x14ac:dyDescent="0.35">
      <c r="J997" s="5"/>
    </row>
    <row r="998" spans="10:10" x14ac:dyDescent="0.35">
      <c r="J998" s="5"/>
    </row>
    <row r="999" spans="10:10" x14ac:dyDescent="0.35">
      <c r="J999" s="5"/>
    </row>
    <row r="1000" spans="10:10" x14ac:dyDescent="0.35">
      <c r="J1000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0EC2-7116-43AA-BC3A-7BEED5B5BD2D}">
  <dimension ref="A1:AS1000"/>
  <sheetViews>
    <sheetView workbookViewId="0"/>
  </sheetViews>
  <sheetFormatPr defaultRowHeight="14.5" x14ac:dyDescent="0.35"/>
  <cols>
    <col min="1" max="1" width="14.7265625" customWidth="1"/>
    <col min="2" max="2" width="16.26953125" customWidth="1"/>
    <col min="3" max="3" width="16.81640625" customWidth="1"/>
    <col min="4" max="4" width="17.36328125" customWidth="1"/>
    <col min="5" max="5" width="14.453125" customWidth="1"/>
    <col min="6" max="6" width="16.81640625" customWidth="1"/>
    <col min="7" max="7" width="21.54296875" customWidth="1"/>
    <col min="8" max="8" width="18.90625" bestFit="1" customWidth="1"/>
    <col min="9" max="9" width="13.6328125" customWidth="1"/>
    <col min="10" max="10" width="22.36328125" customWidth="1"/>
    <col min="11" max="11" width="21.7265625" customWidth="1"/>
    <col min="12" max="12" width="11.26953125" bestFit="1" customWidth="1"/>
    <col min="13" max="13" width="10.6328125" bestFit="1" customWidth="1"/>
    <col min="14" max="14" width="43.453125" bestFit="1" customWidth="1"/>
    <col min="15" max="15" width="23.7265625" customWidth="1"/>
    <col min="16" max="16" width="14.36328125" customWidth="1"/>
    <col min="17" max="17" width="17.7265625" customWidth="1"/>
    <col min="18" max="18" width="21.1796875" customWidth="1"/>
    <col min="19" max="19" width="19.26953125" customWidth="1"/>
    <col min="20" max="20" width="13.90625" customWidth="1"/>
    <col min="21" max="21" width="12.7265625" bestFit="1" customWidth="1"/>
    <col min="22" max="22" width="20.81640625" bestFit="1" customWidth="1"/>
    <col min="23" max="23" width="19.36328125" customWidth="1"/>
    <col min="24" max="24" width="11.08984375" customWidth="1"/>
    <col min="25" max="25" width="13.08984375" customWidth="1"/>
    <col min="26" max="26" width="27.36328125" bestFit="1" customWidth="1"/>
    <col min="27" max="27" width="12.453125" customWidth="1"/>
    <col min="28" max="28" width="81.36328125" bestFit="1" customWidth="1"/>
    <col min="29" max="29" width="52.90625" bestFit="1" customWidth="1"/>
    <col min="30" max="30" width="75.08984375" bestFit="1" customWidth="1"/>
    <col min="31" max="31" width="23.1796875" customWidth="1"/>
    <col min="32" max="32" width="28.81640625" customWidth="1"/>
    <col min="33" max="33" width="49.453125" bestFit="1" customWidth="1"/>
    <col min="34" max="34" width="19.90625" customWidth="1"/>
    <col min="35" max="35" width="43.90625" bestFit="1" customWidth="1"/>
    <col min="36" max="36" width="26.6328125" customWidth="1"/>
    <col min="37" max="37" width="19.81640625" customWidth="1"/>
    <col min="38" max="38" width="13.81640625" customWidth="1"/>
    <col min="39" max="39" width="23.26953125" bestFit="1" customWidth="1"/>
    <col min="40" max="40" width="20.90625" customWidth="1"/>
    <col min="41" max="41" width="41.453125" bestFit="1" customWidth="1"/>
    <col min="42" max="42" width="25.54296875" customWidth="1"/>
    <col min="43" max="43" width="28.81640625" customWidth="1"/>
    <col min="44" max="44" width="24.81640625" customWidth="1"/>
    <col min="45" max="45" width="37.08984375" bestFit="1" customWidth="1"/>
  </cols>
  <sheetData>
    <row r="1" spans="1:45" ht="35" customHeight="1" x14ac:dyDescent="0.3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6</v>
      </c>
      <c r="M1" s="6" t="s">
        <v>7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  <c r="W1" s="6" t="s">
        <v>53</v>
      </c>
      <c r="X1" s="6" t="s">
        <v>54</v>
      </c>
      <c r="Y1" s="6" t="s">
        <v>55</v>
      </c>
      <c r="Z1" s="6" t="s">
        <v>56</v>
      </c>
      <c r="AA1" s="6" t="s">
        <v>57</v>
      </c>
      <c r="AB1" s="6" t="s">
        <v>58</v>
      </c>
      <c r="AC1" s="6" t="s">
        <v>59</v>
      </c>
      <c r="AD1" s="6" t="s">
        <v>60</v>
      </c>
      <c r="AE1" s="6" t="s">
        <v>61</v>
      </c>
      <c r="AF1" s="6" t="s">
        <v>62</v>
      </c>
      <c r="AG1" s="6" t="s">
        <v>63</v>
      </c>
      <c r="AH1" s="6" t="s">
        <v>64</v>
      </c>
      <c r="AI1" s="6" t="s">
        <v>65</v>
      </c>
      <c r="AJ1" s="6" t="s">
        <v>66</v>
      </c>
      <c r="AK1" s="6" t="s">
        <v>67</v>
      </c>
      <c r="AL1" s="6" t="s">
        <v>68</v>
      </c>
      <c r="AM1" s="6" t="s">
        <v>69</v>
      </c>
      <c r="AN1" s="6" t="s">
        <v>70</v>
      </c>
      <c r="AO1" s="6" t="s">
        <v>71</v>
      </c>
      <c r="AP1" s="6" t="s">
        <v>72</v>
      </c>
      <c r="AQ1" s="6" t="s">
        <v>73</v>
      </c>
      <c r="AR1" s="6" t="s">
        <v>74</v>
      </c>
      <c r="AS1" s="6" t="s">
        <v>75</v>
      </c>
    </row>
    <row r="2" spans="1:45" x14ac:dyDescent="0.35">
      <c r="A2" t="s">
        <v>76</v>
      </c>
      <c r="B2" s="5">
        <v>46230</v>
      </c>
      <c r="C2" s="7">
        <v>0.35416666666666669</v>
      </c>
      <c r="D2" s="5">
        <v>46230</v>
      </c>
      <c r="E2" s="7">
        <v>0.375</v>
      </c>
      <c r="F2" s="7">
        <v>0.47916666666666669</v>
      </c>
      <c r="G2" s="7">
        <v>0.10416666666666667</v>
      </c>
      <c r="H2" t="s">
        <v>12</v>
      </c>
      <c r="I2" t="s">
        <v>10</v>
      </c>
      <c r="J2" t="s">
        <v>11</v>
      </c>
      <c r="K2" t="s">
        <v>13</v>
      </c>
      <c r="L2" t="s">
        <v>16</v>
      </c>
      <c r="M2" t="s">
        <v>17</v>
      </c>
      <c r="N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>
        <v>-23.5505</v>
      </c>
      <c r="Y2">
        <v>-46.633299999999998</v>
      </c>
      <c r="Z2" t="s">
        <v>86</v>
      </c>
      <c r="AA2" t="s">
        <v>87</v>
      </c>
      <c r="AB2" t="s">
        <v>88</v>
      </c>
      <c r="AC2" t="s">
        <v>89</v>
      </c>
      <c r="AD2" t="s">
        <v>90</v>
      </c>
      <c r="AE2" t="s">
        <v>91</v>
      </c>
      <c r="AF2" t="s">
        <v>92</v>
      </c>
      <c r="AH2" t="s">
        <v>92</v>
      </c>
      <c r="AK2" s="5"/>
      <c r="AL2" t="s">
        <v>93</v>
      </c>
      <c r="AM2" t="s">
        <v>94</v>
      </c>
      <c r="AN2">
        <v>3</v>
      </c>
      <c r="AO2" t="s">
        <v>95</v>
      </c>
      <c r="AP2" s="4">
        <v>46230</v>
      </c>
      <c r="AQ2" s="5" t="s">
        <v>12</v>
      </c>
      <c r="AR2" t="s">
        <v>96</v>
      </c>
    </row>
    <row r="3" spans="1:45" x14ac:dyDescent="0.35">
      <c r="A3" t="s">
        <v>97</v>
      </c>
      <c r="B3" s="5">
        <v>46230</v>
      </c>
      <c r="C3" s="7">
        <v>0.58333333333333337</v>
      </c>
      <c r="D3" s="5">
        <v>46230</v>
      </c>
      <c r="E3" s="7">
        <v>0.60416666666666663</v>
      </c>
      <c r="F3" s="7">
        <v>0.70833333333333337</v>
      </c>
      <c r="G3" s="7">
        <v>0.10416666666666667</v>
      </c>
      <c r="H3" t="s">
        <v>12</v>
      </c>
      <c r="I3" t="s">
        <v>10</v>
      </c>
      <c r="J3" t="s">
        <v>11</v>
      </c>
      <c r="K3" t="s">
        <v>13</v>
      </c>
      <c r="L3" t="s">
        <v>16</v>
      </c>
      <c r="M3" t="s">
        <v>17</v>
      </c>
      <c r="N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>
        <v>-23.562899999999999</v>
      </c>
      <c r="Y3">
        <v>-46.654400000000003</v>
      </c>
      <c r="Z3" t="s">
        <v>107</v>
      </c>
      <c r="AA3" t="s">
        <v>87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112</v>
      </c>
      <c r="AI3" t="s">
        <v>114</v>
      </c>
      <c r="AJ3" t="s">
        <v>100</v>
      </c>
      <c r="AK3" s="5">
        <v>46233</v>
      </c>
      <c r="AL3" t="s">
        <v>115</v>
      </c>
      <c r="AM3" t="s">
        <v>116</v>
      </c>
      <c r="AN3">
        <v>5</v>
      </c>
      <c r="AO3" t="s">
        <v>117</v>
      </c>
      <c r="AP3" s="4">
        <v>46230</v>
      </c>
      <c r="AQ3" s="5" t="s">
        <v>12</v>
      </c>
      <c r="AR3" t="s">
        <v>96</v>
      </c>
      <c r="AS3" t="s">
        <v>118</v>
      </c>
    </row>
    <row r="4" spans="1:45" x14ac:dyDescent="0.35">
      <c r="B4" s="5"/>
      <c r="C4" s="7"/>
      <c r="D4" s="5"/>
      <c r="E4" s="7"/>
      <c r="F4" s="7"/>
      <c r="G4" s="7"/>
      <c r="AK4" s="5"/>
      <c r="AQ4" s="5"/>
    </row>
    <row r="5" spans="1:45" x14ac:dyDescent="0.35">
      <c r="B5" s="5"/>
      <c r="C5" s="7"/>
      <c r="D5" s="5"/>
      <c r="E5" s="7"/>
      <c r="F5" s="7"/>
      <c r="G5" s="7"/>
      <c r="AK5" s="5"/>
      <c r="AQ5" s="5"/>
    </row>
    <row r="6" spans="1:45" x14ac:dyDescent="0.35">
      <c r="B6" s="5"/>
      <c r="C6" s="7"/>
      <c r="D6" s="5"/>
      <c r="E6" s="7"/>
      <c r="F6" s="7"/>
      <c r="G6" s="7"/>
      <c r="AK6" s="5"/>
      <c r="AQ6" s="5"/>
    </row>
    <row r="7" spans="1:45" x14ac:dyDescent="0.35">
      <c r="B7" s="5"/>
      <c r="C7" s="7"/>
      <c r="D7" s="5"/>
      <c r="E7" s="7"/>
      <c r="F7" s="7"/>
      <c r="G7" s="7"/>
      <c r="AK7" s="5"/>
      <c r="AQ7" s="5"/>
    </row>
    <row r="8" spans="1:45" x14ac:dyDescent="0.35">
      <c r="B8" s="5"/>
      <c r="C8" s="7"/>
      <c r="D8" s="5"/>
      <c r="E8" s="7"/>
      <c r="F8" s="7"/>
      <c r="G8" s="7"/>
      <c r="AK8" s="5"/>
      <c r="AQ8" s="5"/>
    </row>
    <row r="9" spans="1:45" x14ac:dyDescent="0.35">
      <c r="B9" s="5"/>
      <c r="C9" s="7"/>
      <c r="D9" s="5"/>
      <c r="E9" s="7"/>
      <c r="F9" s="7"/>
      <c r="G9" s="7"/>
      <c r="AK9" s="5"/>
      <c r="AQ9" s="5"/>
    </row>
    <row r="10" spans="1:45" x14ac:dyDescent="0.35">
      <c r="B10" s="5"/>
      <c r="C10" s="7"/>
      <c r="D10" s="5"/>
      <c r="E10" s="7"/>
      <c r="F10" s="7"/>
      <c r="G10" s="7"/>
      <c r="AK10" s="5"/>
      <c r="AQ10" s="5"/>
    </row>
    <row r="11" spans="1:45" x14ac:dyDescent="0.35">
      <c r="B11" s="5"/>
      <c r="C11" s="7"/>
      <c r="D11" s="5"/>
      <c r="E11" s="7"/>
      <c r="F11" s="7"/>
      <c r="G11" s="7"/>
      <c r="AK11" s="5"/>
      <c r="AQ11" s="5"/>
    </row>
    <row r="12" spans="1:45" x14ac:dyDescent="0.35">
      <c r="B12" s="5"/>
      <c r="C12" s="7"/>
      <c r="D12" s="5"/>
      <c r="E12" s="7"/>
      <c r="F12" s="7"/>
      <c r="G12" s="7"/>
      <c r="AK12" s="5"/>
      <c r="AQ12" s="5"/>
    </row>
    <row r="13" spans="1:45" x14ac:dyDescent="0.35">
      <c r="B13" s="5"/>
      <c r="C13" s="7"/>
      <c r="D13" s="5"/>
      <c r="E13" s="7"/>
      <c r="F13" s="7"/>
      <c r="G13" s="7"/>
      <c r="AK13" s="5"/>
      <c r="AQ13" s="5"/>
    </row>
    <row r="14" spans="1:45" x14ac:dyDescent="0.35">
      <c r="B14" s="5"/>
      <c r="C14" s="7"/>
      <c r="D14" s="5"/>
      <c r="E14" s="7"/>
      <c r="F14" s="7"/>
      <c r="G14" s="7"/>
      <c r="AK14" s="5"/>
      <c r="AQ14" s="5"/>
    </row>
    <row r="15" spans="1:45" x14ac:dyDescent="0.35">
      <c r="B15" s="5"/>
      <c r="C15" s="7"/>
      <c r="D15" s="5"/>
      <c r="E15" s="7"/>
      <c r="F15" s="7"/>
      <c r="G15" s="7"/>
      <c r="AK15" s="5"/>
      <c r="AQ15" s="5"/>
    </row>
    <row r="16" spans="1:45" x14ac:dyDescent="0.35">
      <c r="B16" s="5"/>
      <c r="C16" s="7"/>
      <c r="D16" s="5"/>
      <c r="E16" s="7"/>
      <c r="F16" s="7"/>
      <c r="G16" s="7"/>
      <c r="AK16" s="5"/>
      <c r="AQ16" s="5"/>
    </row>
    <row r="17" spans="2:43" x14ac:dyDescent="0.35">
      <c r="B17" s="5"/>
      <c r="C17" s="7"/>
      <c r="D17" s="5"/>
      <c r="E17" s="7"/>
      <c r="F17" s="7"/>
      <c r="G17" s="7"/>
      <c r="AK17" s="5"/>
      <c r="AQ17" s="5"/>
    </row>
    <row r="18" spans="2:43" x14ac:dyDescent="0.35">
      <c r="B18" s="5"/>
      <c r="C18" s="7"/>
      <c r="D18" s="5"/>
      <c r="E18" s="7"/>
      <c r="F18" s="7"/>
      <c r="G18" s="7"/>
      <c r="AK18" s="5"/>
      <c r="AQ18" s="5"/>
    </row>
    <row r="19" spans="2:43" x14ac:dyDescent="0.35">
      <c r="B19" s="5"/>
      <c r="C19" s="7"/>
      <c r="D19" s="5"/>
      <c r="E19" s="7"/>
      <c r="F19" s="7"/>
      <c r="G19" s="7"/>
      <c r="AK19" s="5"/>
      <c r="AQ19" s="5"/>
    </row>
    <row r="20" spans="2:43" x14ac:dyDescent="0.35">
      <c r="B20" s="5"/>
      <c r="C20" s="7"/>
      <c r="D20" s="5"/>
      <c r="E20" s="7"/>
      <c r="F20" s="7"/>
      <c r="G20" s="7"/>
      <c r="AK20" s="5"/>
      <c r="AQ20" s="5"/>
    </row>
    <row r="21" spans="2:43" x14ac:dyDescent="0.35">
      <c r="B21" s="5"/>
      <c r="C21" s="7"/>
      <c r="D21" s="5"/>
      <c r="E21" s="7"/>
      <c r="F21" s="7"/>
      <c r="G21" s="7"/>
      <c r="AK21" s="5"/>
      <c r="AQ21" s="5"/>
    </row>
    <row r="22" spans="2:43" x14ac:dyDescent="0.35">
      <c r="B22" s="5"/>
      <c r="C22" s="7"/>
      <c r="D22" s="5"/>
      <c r="E22" s="7"/>
      <c r="F22" s="7"/>
      <c r="G22" s="7"/>
      <c r="AK22" s="5"/>
      <c r="AQ22" s="5"/>
    </row>
    <row r="23" spans="2:43" x14ac:dyDescent="0.35">
      <c r="B23" s="5"/>
      <c r="C23" s="7"/>
      <c r="D23" s="5"/>
      <c r="E23" s="7"/>
      <c r="F23" s="7"/>
      <c r="G23" s="7"/>
      <c r="AK23" s="5"/>
      <c r="AQ23" s="5"/>
    </row>
    <row r="24" spans="2:43" x14ac:dyDescent="0.35">
      <c r="B24" s="5"/>
      <c r="C24" s="7"/>
      <c r="D24" s="5"/>
      <c r="E24" s="7"/>
      <c r="F24" s="7"/>
      <c r="G24" s="7"/>
      <c r="AK24" s="5"/>
      <c r="AQ24" s="5"/>
    </row>
    <row r="25" spans="2:43" x14ac:dyDescent="0.35">
      <c r="B25" s="5"/>
      <c r="C25" s="7"/>
      <c r="D25" s="5"/>
      <c r="E25" s="7"/>
      <c r="F25" s="7"/>
      <c r="G25" s="7"/>
      <c r="AK25" s="5"/>
      <c r="AQ25" s="5"/>
    </row>
    <row r="26" spans="2:43" x14ac:dyDescent="0.35">
      <c r="B26" s="5"/>
      <c r="C26" s="7"/>
      <c r="D26" s="5"/>
      <c r="E26" s="7"/>
      <c r="F26" s="7"/>
      <c r="G26" s="7"/>
      <c r="AK26" s="5"/>
      <c r="AQ26" s="5"/>
    </row>
    <row r="27" spans="2:43" x14ac:dyDescent="0.35">
      <c r="B27" s="5"/>
      <c r="C27" s="7"/>
      <c r="D27" s="5"/>
      <c r="E27" s="7"/>
      <c r="F27" s="7"/>
      <c r="G27" s="7"/>
      <c r="AK27" s="5"/>
      <c r="AQ27" s="5"/>
    </row>
    <row r="28" spans="2:43" x14ac:dyDescent="0.35">
      <c r="B28" s="5"/>
      <c r="C28" s="7"/>
      <c r="D28" s="5"/>
      <c r="E28" s="7"/>
      <c r="F28" s="7"/>
      <c r="G28" s="7"/>
      <c r="AK28" s="5"/>
      <c r="AQ28" s="5"/>
    </row>
    <row r="29" spans="2:43" x14ac:dyDescent="0.35">
      <c r="B29" s="5"/>
      <c r="C29" s="7"/>
      <c r="D29" s="5"/>
      <c r="E29" s="7"/>
      <c r="F29" s="7"/>
      <c r="G29" s="7"/>
      <c r="AK29" s="5"/>
      <c r="AQ29" s="5"/>
    </row>
    <row r="30" spans="2:43" x14ac:dyDescent="0.35">
      <c r="B30" s="5"/>
      <c r="C30" s="7"/>
      <c r="D30" s="5"/>
      <c r="E30" s="7"/>
      <c r="F30" s="7"/>
      <c r="G30" s="7"/>
      <c r="AK30" s="5"/>
      <c r="AQ30" s="5"/>
    </row>
    <row r="31" spans="2:43" x14ac:dyDescent="0.35">
      <c r="B31" s="5"/>
      <c r="C31" s="7"/>
      <c r="D31" s="5"/>
      <c r="E31" s="7"/>
      <c r="F31" s="7"/>
      <c r="G31" s="7"/>
      <c r="AK31" s="5"/>
      <c r="AQ31" s="5"/>
    </row>
    <row r="32" spans="2:43" x14ac:dyDescent="0.35">
      <c r="B32" s="5"/>
      <c r="C32" s="7"/>
      <c r="D32" s="5"/>
      <c r="E32" s="7"/>
      <c r="F32" s="7"/>
      <c r="G32" s="7"/>
      <c r="AK32" s="5"/>
      <c r="AQ32" s="5"/>
    </row>
    <row r="33" spans="2:43" x14ac:dyDescent="0.35">
      <c r="B33" s="5"/>
      <c r="C33" s="7"/>
      <c r="D33" s="5"/>
      <c r="E33" s="7"/>
      <c r="F33" s="7"/>
      <c r="G33" s="7"/>
      <c r="AK33" s="5"/>
      <c r="AQ33" s="5"/>
    </row>
    <row r="34" spans="2:43" x14ac:dyDescent="0.35">
      <c r="B34" s="5"/>
      <c r="C34" s="7"/>
      <c r="D34" s="5"/>
      <c r="E34" s="7"/>
      <c r="F34" s="7"/>
      <c r="G34" s="7"/>
      <c r="AK34" s="5"/>
      <c r="AQ34" s="5"/>
    </row>
    <row r="35" spans="2:43" x14ac:dyDescent="0.35">
      <c r="B35" s="5"/>
      <c r="C35" s="7"/>
      <c r="D35" s="5"/>
      <c r="E35" s="7"/>
      <c r="F35" s="7"/>
      <c r="G35" s="7"/>
      <c r="AK35" s="5"/>
      <c r="AQ35" s="5"/>
    </row>
    <row r="36" spans="2:43" x14ac:dyDescent="0.35">
      <c r="B36" s="5"/>
      <c r="C36" s="7"/>
      <c r="D36" s="5"/>
      <c r="E36" s="7"/>
      <c r="F36" s="7"/>
      <c r="G36" s="7"/>
      <c r="AK36" s="5"/>
      <c r="AQ36" s="5"/>
    </row>
    <row r="37" spans="2:43" x14ac:dyDescent="0.35">
      <c r="B37" s="5"/>
      <c r="C37" s="7"/>
      <c r="D37" s="5"/>
      <c r="E37" s="7"/>
      <c r="F37" s="7"/>
      <c r="G37" s="7"/>
      <c r="AK37" s="5"/>
      <c r="AQ37" s="5"/>
    </row>
    <row r="38" spans="2:43" x14ac:dyDescent="0.35">
      <c r="B38" s="5"/>
      <c r="C38" s="7"/>
      <c r="D38" s="5"/>
      <c r="E38" s="7"/>
      <c r="F38" s="7"/>
      <c r="G38" s="7"/>
      <c r="AK38" s="5"/>
      <c r="AQ38" s="5"/>
    </row>
    <row r="39" spans="2:43" x14ac:dyDescent="0.35">
      <c r="B39" s="5"/>
      <c r="C39" s="7"/>
      <c r="D39" s="5"/>
      <c r="E39" s="7"/>
      <c r="F39" s="7"/>
      <c r="G39" s="7"/>
      <c r="AK39" s="5"/>
      <c r="AQ39" s="5"/>
    </row>
    <row r="40" spans="2:43" x14ac:dyDescent="0.35">
      <c r="B40" s="5"/>
      <c r="C40" s="7"/>
      <c r="D40" s="5"/>
      <c r="E40" s="7"/>
      <c r="F40" s="7"/>
      <c r="G40" s="7"/>
      <c r="AK40" s="5"/>
      <c r="AQ40" s="5"/>
    </row>
    <row r="41" spans="2:43" x14ac:dyDescent="0.35">
      <c r="B41" s="5"/>
      <c r="C41" s="7"/>
      <c r="D41" s="5"/>
      <c r="E41" s="7"/>
      <c r="F41" s="7"/>
      <c r="G41" s="7"/>
      <c r="AK41" s="5"/>
      <c r="AQ41" s="5"/>
    </row>
    <row r="42" spans="2:43" x14ac:dyDescent="0.35">
      <c r="B42" s="5"/>
      <c r="C42" s="7"/>
      <c r="D42" s="5"/>
      <c r="E42" s="7"/>
      <c r="F42" s="7"/>
      <c r="G42" s="7"/>
      <c r="AK42" s="5"/>
      <c r="AQ42" s="5"/>
    </row>
    <row r="43" spans="2:43" x14ac:dyDescent="0.35">
      <c r="B43" s="5"/>
      <c r="C43" s="7"/>
      <c r="D43" s="5"/>
      <c r="E43" s="7"/>
      <c r="F43" s="7"/>
      <c r="G43" s="7"/>
      <c r="AK43" s="5"/>
      <c r="AQ43" s="5"/>
    </row>
    <row r="44" spans="2:43" x14ac:dyDescent="0.35">
      <c r="B44" s="5"/>
      <c r="C44" s="7"/>
      <c r="D44" s="5"/>
      <c r="E44" s="7"/>
      <c r="F44" s="7"/>
      <c r="G44" s="7"/>
      <c r="AK44" s="5"/>
      <c r="AQ44" s="5"/>
    </row>
    <row r="45" spans="2:43" x14ac:dyDescent="0.35">
      <c r="B45" s="5"/>
      <c r="C45" s="7"/>
      <c r="D45" s="5"/>
      <c r="E45" s="7"/>
      <c r="F45" s="7"/>
      <c r="G45" s="7"/>
      <c r="AK45" s="5"/>
      <c r="AQ45" s="5"/>
    </row>
    <row r="46" spans="2:43" x14ac:dyDescent="0.35">
      <c r="B46" s="5"/>
      <c r="C46" s="7"/>
      <c r="D46" s="5"/>
      <c r="E46" s="7"/>
      <c r="F46" s="7"/>
      <c r="G46" s="7"/>
      <c r="AK46" s="5"/>
      <c r="AQ46" s="5"/>
    </row>
    <row r="47" spans="2:43" x14ac:dyDescent="0.35">
      <c r="B47" s="5"/>
      <c r="C47" s="7"/>
      <c r="D47" s="5"/>
      <c r="E47" s="7"/>
      <c r="F47" s="7"/>
      <c r="G47" s="7"/>
      <c r="AK47" s="5"/>
      <c r="AQ47" s="5"/>
    </row>
    <row r="48" spans="2:43" x14ac:dyDescent="0.35">
      <c r="B48" s="5"/>
      <c r="C48" s="7"/>
      <c r="D48" s="5"/>
      <c r="E48" s="7"/>
      <c r="F48" s="7"/>
      <c r="G48" s="7"/>
      <c r="AK48" s="5"/>
      <c r="AQ48" s="5"/>
    </row>
    <row r="49" spans="2:43" x14ac:dyDescent="0.35">
      <c r="B49" s="5"/>
      <c r="C49" s="7"/>
      <c r="D49" s="5"/>
      <c r="E49" s="7"/>
      <c r="F49" s="7"/>
      <c r="G49" s="7"/>
      <c r="AK49" s="5"/>
      <c r="AQ49" s="5"/>
    </row>
    <row r="50" spans="2:43" x14ac:dyDescent="0.35">
      <c r="B50" s="5"/>
      <c r="C50" s="7"/>
      <c r="D50" s="5"/>
      <c r="E50" s="7"/>
      <c r="F50" s="7"/>
      <c r="G50" s="7"/>
      <c r="AK50" s="5"/>
      <c r="AQ50" s="5"/>
    </row>
    <row r="51" spans="2:43" x14ac:dyDescent="0.35">
      <c r="B51" s="5"/>
      <c r="C51" s="7"/>
      <c r="D51" s="5"/>
      <c r="E51" s="7"/>
      <c r="F51" s="7"/>
      <c r="G51" s="7"/>
      <c r="AK51" s="5"/>
      <c r="AQ51" s="5"/>
    </row>
    <row r="52" spans="2:43" x14ac:dyDescent="0.35">
      <c r="B52" s="5"/>
      <c r="C52" s="7"/>
      <c r="D52" s="5"/>
      <c r="E52" s="7"/>
      <c r="F52" s="7"/>
      <c r="G52" s="7"/>
      <c r="AK52" s="5"/>
      <c r="AQ52" s="5"/>
    </row>
    <row r="53" spans="2:43" x14ac:dyDescent="0.35">
      <c r="B53" s="5"/>
      <c r="C53" s="7"/>
      <c r="D53" s="5"/>
      <c r="E53" s="7"/>
      <c r="F53" s="7"/>
      <c r="G53" s="7"/>
      <c r="AK53" s="5"/>
      <c r="AQ53" s="5"/>
    </row>
    <row r="54" spans="2:43" x14ac:dyDescent="0.35">
      <c r="B54" s="5"/>
      <c r="C54" s="7"/>
      <c r="D54" s="5"/>
      <c r="E54" s="7"/>
      <c r="F54" s="7"/>
      <c r="G54" s="7"/>
      <c r="AK54" s="5"/>
      <c r="AQ54" s="5"/>
    </row>
    <row r="55" spans="2:43" x14ac:dyDescent="0.35">
      <c r="B55" s="5"/>
      <c r="C55" s="7"/>
      <c r="D55" s="5"/>
      <c r="E55" s="7"/>
      <c r="F55" s="7"/>
      <c r="G55" s="7"/>
      <c r="AK55" s="5"/>
      <c r="AQ55" s="5"/>
    </row>
    <row r="56" spans="2:43" x14ac:dyDescent="0.35">
      <c r="B56" s="5"/>
      <c r="C56" s="7"/>
      <c r="D56" s="5"/>
      <c r="E56" s="7"/>
      <c r="F56" s="7"/>
      <c r="G56" s="7"/>
      <c r="AK56" s="5"/>
      <c r="AQ56" s="5"/>
    </row>
    <row r="57" spans="2:43" x14ac:dyDescent="0.35">
      <c r="B57" s="5"/>
      <c r="C57" s="7"/>
      <c r="D57" s="5"/>
      <c r="E57" s="7"/>
      <c r="F57" s="7"/>
      <c r="G57" s="7"/>
      <c r="AK57" s="5"/>
      <c r="AQ57" s="5"/>
    </row>
    <row r="58" spans="2:43" x14ac:dyDescent="0.35">
      <c r="B58" s="5"/>
      <c r="C58" s="7"/>
      <c r="D58" s="5"/>
      <c r="E58" s="7"/>
      <c r="F58" s="7"/>
      <c r="G58" s="7"/>
      <c r="AK58" s="5"/>
      <c r="AQ58" s="5"/>
    </row>
    <row r="59" spans="2:43" x14ac:dyDescent="0.35">
      <c r="B59" s="5"/>
      <c r="C59" s="7"/>
      <c r="D59" s="5"/>
      <c r="E59" s="7"/>
      <c r="F59" s="7"/>
      <c r="G59" s="7"/>
      <c r="AK59" s="5"/>
      <c r="AQ59" s="5"/>
    </row>
    <row r="60" spans="2:43" x14ac:dyDescent="0.35">
      <c r="B60" s="5"/>
      <c r="C60" s="7"/>
      <c r="D60" s="5"/>
      <c r="E60" s="7"/>
      <c r="F60" s="7"/>
      <c r="G60" s="7"/>
      <c r="AK60" s="5"/>
      <c r="AQ60" s="5"/>
    </row>
    <row r="61" spans="2:43" x14ac:dyDescent="0.35">
      <c r="B61" s="5"/>
      <c r="C61" s="7"/>
      <c r="D61" s="5"/>
      <c r="E61" s="7"/>
      <c r="F61" s="7"/>
      <c r="G61" s="7"/>
      <c r="AK61" s="5"/>
      <c r="AQ61" s="5"/>
    </row>
    <row r="62" spans="2:43" x14ac:dyDescent="0.35">
      <c r="B62" s="5"/>
      <c r="C62" s="7"/>
      <c r="D62" s="5"/>
      <c r="E62" s="7"/>
      <c r="F62" s="7"/>
      <c r="G62" s="7"/>
      <c r="AK62" s="5"/>
      <c r="AQ62" s="5"/>
    </row>
    <row r="63" spans="2:43" x14ac:dyDescent="0.35">
      <c r="B63" s="5"/>
      <c r="C63" s="7"/>
      <c r="D63" s="5"/>
      <c r="E63" s="7"/>
      <c r="F63" s="7"/>
      <c r="G63" s="7"/>
      <c r="AK63" s="5"/>
      <c r="AQ63" s="5"/>
    </row>
    <row r="64" spans="2:43" x14ac:dyDescent="0.35">
      <c r="B64" s="5"/>
      <c r="C64" s="7"/>
      <c r="D64" s="5"/>
      <c r="E64" s="7"/>
      <c r="F64" s="7"/>
      <c r="G64" s="7"/>
      <c r="AK64" s="5"/>
      <c r="AQ64" s="5"/>
    </row>
    <row r="65" spans="2:43" x14ac:dyDescent="0.35">
      <c r="B65" s="5"/>
      <c r="C65" s="7"/>
      <c r="D65" s="5"/>
      <c r="E65" s="7"/>
      <c r="F65" s="7"/>
      <c r="G65" s="7"/>
      <c r="AK65" s="5"/>
      <c r="AQ65" s="5"/>
    </row>
    <row r="66" spans="2:43" x14ac:dyDescent="0.35">
      <c r="B66" s="5"/>
      <c r="C66" s="7"/>
      <c r="D66" s="5"/>
      <c r="E66" s="7"/>
      <c r="F66" s="7"/>
      <c r="G66" s="7"/>
      <c r="AK66" s="5"/>
      <c r="AQ66" s="5"/>
    </row>
    <row r="67" spans="2:43" x14ac:dyDescent="0.35">
      <c r="B67" s="5"/>
      <c r="C67" s="7"/>
      <c r="D67" s="5"/>
      <c r="E67" s="7"/>
      <c r="F67" s="7"/>
      <c r="G67" s="7"/>
      <c r="AK67" s="5"/>
      <c r="AQ67" s="5"/>
    </row>
    <row r="68" spans="2:43" x14ac:dyDescent="0.35">
      <c r="B68" s="5"/>
      <c r="C68" s="7"/>
      <c r="D68" s="5"/>
      <c r="E68" s="7"/>
      <c r="F68" s="7"/>
      <c r="G68" s="7"/>
      <c r="AK68" s="5"/>
      <c r="AQ68" s="5"/>
    </row>
    <row r="69" spans="2:43" x14ac:dyDescent="0.35">
      <c r="B69" s="5"/>
      <c r="C69" s="7"/>
      <c r="D69" s="5"/>
      <c r="E69" s="7"/>
      <c r="F69" s="7"/>
      <c r="G69" s="7"/>
      <c r="AK69" s="5"/>
      <c r="AQ69" s="5"/>
    </row>
    <row r="70" spans="2:43" x14ac:dyDescent="0.35">
      <c r="B70" s="5"/>
      <c r="C70" s="7"/>
      <c r="D70" s="5"/>
      <c r="E70" s="7"/>
      <c r="F70" s="7"/>
      <c r="G70" s="7"/>
      <c r="AK70" s="5"/>
      <c r="AQ70" s="5"/>
    </row>
    <row r="71" spans="2:43" x14ac:dyDescent="0.35">
      <c r="B71" s="5"/>
      <c r="C71" s="7"/>
      <c r="D71" s="5"/>
      <c r="E71" s="7"/>
      <c r="F71" s="7"/>
      <c r="G71" s="7"/>
      <c r="AK71" s="5"/>
      <c r="AQ71" s="5"/>
    </row>
    <row r="72" spans="2:43" x14ac:dyDescent="0.35">
      <c r="B72" s="5"/>
      <c r="C72" s="7"/>
      <c r="D72" s="5"/>
      <c r="E72" s="7"/>
      <c r="F72" s="7"/>
      <c r="G72" s="7"/>
      <c r="AK72" s="5"/>
      <c r="AQ72" s="5"/>
    </row>
    <row r="73" spans="2:43" x14ac:dyDescent="0.35">
      <c r="B73" s="5"/>
      <c r="C73" s="7"/>
      <c r="D73" s="5"/>
      <c r="E73" s="7"/>
      <c r="F73" s="7"/>
      <c r="G73" s="7"/>
      <c r="AK73" s="5"/>
      <c r="AQ73" s="5"/>
    </row>
    <row r="74" spans="2:43" x14ac:dyDescent="0.35">
      <c r="B74" s="5"/>
      <c r="C74" s="7"/>
      <c r="D74" s="5"/>
      <c r="E74" s="7"/>
      <c r="F74" s="7"/>
      <c r="G74" s="7"/>
      <c r="AK74" s="5"/>
      <c r="AQ74" s="5"/>
    </row>
    <row r="75" spans="2:43" x14ac:dyDescent="0.35">
      <c r="B75" s="5"/>
      <c r="C75" s="7"/>
      <c r="D75" s="5"/>
      <c r="E75" s="7"/>
      <c r="F75" s="7"/>
      <c r="G75" s="7"/>
      <c r="AK75" s="5"/>
      <c r="AQ75" s="5"/>
    </row>
    <row r="76" spans="2:43" x14ac:dyDescent="0.35">
      <c r="B76" s="5"/>
      <c r="C76" s="7"/>
      <c r="D76" s="5"/>
      <c r="E76" s="7"/>
      <c r="F76" s="7"/>
      <c r="G76" s="7"/>
      <c r="AK76" s="5"/>
      <c r="AQ76" s="5"/>
    </row>
    <row r="77" spans="2:43" x14ac:dyDescent="0.35">
      <c r="B77" s="5"/>
      <c r="C77" s="7"/>
      <c r="D77" s="5"/>
      <c r="E77" s="7"/>
      <c r="F77" s="7"/>
      <c r="G77" s="7"/>
      <c r="AK77" s="5"/>
      <c r="AQ77" s="5"/>
    </row>
    <row r="78" spans="2:43" x14ac:dyDescent="0.35">
      <c r="B78" s="5"/>
      <c r="C78" s="7"/>
      <c r="D78" s="5"/>
      <c r="E78" s="7"/>
      <c r="F78" s="7"/>
      <c r="G78" s="7"/>
      <c r="AK78" s="5"/>
      <c r="AQ78" s="5"/>
    </row>
    <row r="79" spans="2:43" x14ac:dyDescent="0.35">
      <c r="B79" s="5"/>
      <c r="C79" s="7"/>
      <c r="D79" s="5"/>
      <c r="E79" s="7"/>
      <c r="F79" s="7"/>
      <c r="G79" s="7"/>
      <c r="AK79" s="5"/>
      <c r="AQ79" s="5"/>
    </row>
    <row r="80" spans="2:43" x14ac:dyDescent="0.35">
      <c r="B80" s="5"/>
      <c r="C80" s="7"/>
      <c r="D80" s="5"/>
      <c r="E80" s="7"/>
      <c r="F80" s="7"/>
      <c r="G80" s="7"/>
      <c r="AK80" s="5"/>
      <c r="AQ80" s="5"/>
    </row>
    <row r="81" spans="2:43" x14ac:dyDescent="0.35">
      <c r="B81" s="5"/>
      <c r="C81" s="7"/>
      <c r="D81" s="5"/>
      <c r="E81" s="7"/>
      <c r="F81" s="7"/>
      <c r="G81" s="7"/>
      <c r="AK81" s="5"/>
      <c r="AQ81" s="5"/>
    </row>
    <row r="82" spans="2:43" x14ac:dyDescent="0.35">
      <c r="B82" s="5"/>
      <c r="C82" s="7"/>
      <c r="D82" s="5"/>
      <c r="E82" s="7"/>
      <c r="F82" s="7"/>
      <c r="G82" s="7"/>
      <c r="AK82" s="5"/>
      <c r="AQ82" s="5"/>
    </row>
    <row r="83" spans="2:43" x14ac:dyDescent="0.35">
      <c r="B83" s="5"/>
      <c r="C83" s="7"/>
      <c r="D83" s="5"/>
      <c r="E83" s="7"/>
      <c r="F83" s="7"/>
      <c r="G83" s="7"/>
      <c r="AK83" s="5"/>
      <c r="AQ83" s="5"/>
    </row>
    <row r="84" spans="2:43" x14ac:dyDescent="0.35">
      <c r="B84" s="5"/>
      <c r="C84" s="7"/>
      <c r="D84" s="5"/>
      <c r="E84" s="7"/>
      <c r="F84" s="7"/>
      <c r="G84" s="7"/>
      <c r="AK84" s="5"/>
      <c r="AQ84" s="5"/>
    </row>
    <row r="85" spans="2:43" x14ac:dyDescent="0.35">
      <c r="B85" s="5"/>
      <c r="C85" s="7"/>
      <c r="D85" s="5"/>
      <c r="E85" s="7"/>
      <c r="F85" s="7"/>
      <c r="G85" s="7"/>
      <c r="AK85" s="5"/>
      <c r="AQ85" s="5"/>
    </row>
    <row r="86" spans="2:43" x14ac:dyDescent="0.35">
      <c r="B86" s="5"/>
      <c r="C86" s="7"/>
      <c r="D86" s="5"/>
      <c r="E86" s="7"/>
      <c r="F86" s="7"/>
      <c r="G86" s="7"/>
      <c r="AK86" s="5"/>
      <c r="AQ86" s="5"/>
    </row>
    <row r="87" spans="2:43" x14ac:dyDescent="0.35">
      <c r="B87" s="5"/>
      <c r="C87" s="7"/>
      <c r="D87" s="5"/>
      <c r="E87" s="7"/>
      <c r="F87" s="7"/>
      <c r="G87" s="7"/>
      <c r="AK87" s="5"/>
      <c r="AQ87" s="5"/>
    </row>
    <row r="88" spans="2:43" x14ac:dyDescent="0.35">
      <c r="B88" s="5"/>
      <c r="C88" s="7"/>
      <c r="D88" s="5"/>
      <c r="E88" s="7"/>
      <c r="F88" s="7"/>
      <c r="G88" s="7"/>
      <c r="AK88" s="5"/>
      <c r="AQ88" s="5"/>
    </row>
    <row r="89" spans="2:43" x14ac:dyDescent="0.35">
      <c r="B89" s="5"/>
      <c r="C89" s="7"/>
      <c r="D89" s="5"/>
      <c r="E89" s="7"/>
      <c r="F89" s="7"/>
      <c r="G89" s="7"/>
      <c r="AK89" s="5"/>
      <c r="AQ89" s="5"/>
    </row>
    <row r="90" spans="2:43" x14ac:dyDescent="0.35">
      <c r="B90" s="5"/>
      <c r="C90" s="7"/>
      <c r="D90" s="5"/>
      <c r="E90" s="7"/>
      <c r="F90" s="7"/>
      <c r="G90" s="7"/>
      <c r="AK90" s="5"/>
      <c r="AQ90" s="5"/>
    </row>
    <row r="91" spans="2:43" x14ac:dyDescent="0.35">
      <c r="B91" s="5"/>
      <c r="C91" s="7"/>
      <c r="D91" s="5"/>
      <c r="E91" s="7"/>
      <c r="F91" s="7"/>
      <c r="G91" s="7"/>
      <c r="AK91" s="5"/>
      <c r="AQ91" s="5"/>
    </row>
    <row r="92" spans="2:43" x14ac:dyDescent="0.35">
      <c r="B92" s="5"/>
      <c r="C92" s="7"/>
      <c r="D92" s="5"/>
      <c r="E92" s="7"/>
      <c r="F92" s="7"/>
      <c r="G92" s="7"/>
      <c r="AK92" s="5"/>
      <c r="AQ92" s="5"/>
    </row>
    <row r="93" spans="2:43" x14ac:dyDescent="0.35">
      <c r="B93" s="5"/>
      <c r="C93" s="7"/>
      <c r="D93" s="5"/>
      <c r="E93" s="7"/>
      <c r="F93" s="7"/>
      <c r="G93" s="7"/>
      <c r="AK93" s="5"/>
      <c r="AQ93" s="5"/>
    </row>
    <row r="94" spans="2:43" x14ac:dyDescent="0.35">
      <c r="B94" s="5"/>
      <c r="C94" s="7"/>
      <c r="D94" s="5"/>
      <c r="E94" s="7"/>
      <c r="F94" s="7"/>
      <c r="G94" s="7"/>
      <c r="AK94" s="5"/>
      <c r="AQ94" s="5"/>
    </row>
    <row r="95" spans="2:43" x14ac:dyDescent="0.35">
      <c r="B95" s="5"/>
      <c r="C95" s="7"/>
      <c r="D95" s="5"/>
      <c r="E95" s="7"/>
      <c r="F95" s="7"/>
      <c r="G95" s="7"/>
      <c r="AK95" s="5"/>
      <c r="AQ95" s="5"/>
    </row>
    <row r="96" spans="2:43" x14ac:dyDescent="0.35">
      <c r="B96" s="5"/>
      <c r="C96" s="7"/>
      <c r="D96" s="5"/>
      <c r="E96" s="7"/>
      <c r="F96" s="7"/>
      <c r="G96" s="7"/>
      <c r="AK96" s="5"/>
      <c r="AQ96" s="5"/>
    </row>
    <row r="97" spans="2:43" x14ac:dyDescent="0.35">
      <c r="B97" s="5"/>
      <c r="C97" s="7"/>
      <c r="D97" s="5"/>
      <c r="E97" s="7"/>
      <c r="F97" s="7"/>
      <c r="G97" s="7"/>
      <c r="AK97" s="5"/>
      <c r="AQ97" s="5"/>
    </row>
    <row r="98" spans="2:43" x14ac:dyDescent="0.35">
      <c r="B98" s="5"/>
      <c r="C98" s="7"/>
      <c r="D98" s="5"/>
      <c r="E98" s="7"/>
      <c r="F98" s="7"/>
      <c r="G98" s="7"/>
      <c r="AK98" s="5"/>
      <c r="AQ98" s="5"/>
    </row>
    <row r="99" spans="2:43" x14ac:dyDescent="0.35">
      <c r="B99" s="5"/>
      <c r="C99" s="7"/>
      <c r="D99" s="5"/>
      <c r="E99" s="7"/>
      <c r="F99" s="7"/>
      <c r="G99" s="7"/>
      <c r="AK99" s="5"/>
      <c r="AQ99" s="5"/>
    </row>
    <row r="100" spans="2:43" x14ac:dyDescent="0.35">
      <c r="B100" s="5"/>
      <c r="C100" s="7"/>
      <c r="D100" s="5"/>
      <c r="E100" s="7"/>
      <c r="F100" s="7"/>
      <c r="G100" s="7"/>
      <c r="AK100" s="5"/>
      <c r="AQ100" s="5"/>
    </row>
    <row r="101" spans="2:43" x14ac:dyDescent="0.35">
      <c r="B101" s="5"/>
      <c r="C101" s="7"/>
      <c r="D101" s="5"/>
      <c r="E101" s="7"/>
      <c r="F101" s="7"/>
      <c r="G101" s="7"/>
      <c r="AK101" s="5"/>
      <c r="AQ101" s="5"/>
    </row>
    <row r="102" spans="2:43" x14ac:dyDescent="0.35">
      <c r="B102" s="5"/>
      <c r="C102" s="7"/>
      <c r="D102" s="5"/>
      <c r="E102" s="7"/>
      <c r="F102" s="7"/>
      <c r="G102" s="7"/>
      <c r="AK102" s="5"/>
      <c r="AQ102" s="5"/>
    </row>
    <row r="103" spans="2:43" x14ac:dyDescent="0.35">
      <c r="B103" s="5"/>
      <c r="C103" s="7"/>
      <c r="D103" s="5"/>
      <c r="E103" s="7"/>
      <c r="F103" s="7"/>
      <c r="G103" s="7"/>
      <c r="AK103" s="5"/>
      <c r="AQ103" s="5"/>
    </row>
    <row r="104" spans="2:43" x14ac:dyDescent="0.35">
      <c r="B104" s="5"/>
      <c r="C104" s="7"/>
      <c r="D104" s="5"/>
      <c r="E104" s="7"/>
      <c r="F104" s="7"/>
      <c r="G104" s="7"/>
      <c r="AK104" s="5"/>
      <c r="AQ104" s="5"/>
    </row>
    <row r="105" spans="2:43" x14ac:dyDescent="0.35">
      <c r="B105" s="5"/>
      <c r="C105" s="7"/>
      <c r="D105" s="5"/>
      <c r="E105" s="7"/>
      <c r="F105" s="7"/>
      <c r="G105" s="7"/>
      <c r="AK105" s="5"/>
      <c r="AQ105" s="5"/>
    </row>
    <row r="106" spans="2:43" x14ac:dyDescent="0.35">
      <c r="B106" s="5"/>
      <c r="C106" s="7"/>
      <c r="D106" s="5"/>
      <c r="E106" s="7"/>
      <c r="F106" s="7"/>
      <c r="G106" s="7"/>
      <c r="AK106" s="5"/>
      <c r="AQ106" s="5"/>
    </row>
    <row r="107" spans="2:43" x14ac:dyDescent="0.35">
      <c r="B107" s="5"/>
      <c r="C107" s="7"/>
      <c r="D107" s="5"/>
      <c r="E107" s="7"/>
      <c r="F107" s="7"/>
      <c r="G107" s="7"/>
      <c r="AK107" s="5"/>
      <c r="AQ107" s="5"/>
    </row>
    <row r="108" spans="2:43" x14ac:dyDescent="0.35">
      <c r="B108" s="5"/>
      <c r="C108" s="7"/>
      <c r="D108" s="5"/>
      <c r="E108" s="7"/>
      <c r="F108" s="7"/>
      <c r="G108" s="7"/>
      <c r="AK108" s="5"/>
      <c r="AQ108" s="5"/>
    </row>
    <row r="109" spans="2:43" x14ac:dyDescent="0.35">
      <c r="B109" s="5"/>
      <c r="C109" s="7"/>
      <c r="D109" s="5"/>
      <c r="E109" s="7"/>
      <c r="F109" s="7"/>
      <c r="G109" s="7"/>
      <c r="AK109" s="5"/>
      <c r="AQ109" s="5"/>
    </row>
    <row r="110" spans="2:43" x14ac:dyDescent="0.35">
      <c r="B110" s="5"/>
      <c r="C110" s="7"/>
      <c r="D110" s="5"/>
      <c r="E110" s="7"/>
      <c r="F110" s="7"/>
      <c r="G110" s="7"/>
      <c r="AK110" s="5"/>
      <c r="AQ110" s="5"/>
    </row>
    <row r="111" spans="2:43" x14ac:dyDescent="0.35">
      <c r="B111" s="5"/>
      <c r="C111" s="7"/>
      <c r="D111" s="5"/>
      <c r="E111" s="7"/>
      <c r="F111" s="7"/>
      <c r="G111" s="7"/>
      <c r="AK111" s="5"/>
      <c r="AQ111" s="5"/>
    </row>
    <row r="112" spans="2:43" x14ac:dyDescent="0.35">
      <c r="B112" s="5"/>
      <c r="C112" s="7"/>
      <c r="D112" s="5"/>
      <c r="E112" s="7"/>
      <c r="F112" s="7"/>
      <c r="G112" s="7"/>
      <c r="AK112" s="5"/>
      <c r="AQ112" s="5"/>
    </row>
    <row r="113" spans="2:43" x14ac:dyDescent="0.35">
      <c r="B113" s="5"/>
      <c r="C113" s="7"/>
      <c r="D113" s="5"/>
      <c r="E113" s="7"/>
      <c r="F113" s="7"/>
      <c r="G113" s="7"/>
      <c r="AK113" s="5"/>
      <c r="AQ113" s="5"/>
    </row>
    <row r="114" spans="2:43" x14ac:dyDescent="0.35">
      <c r="B114" s="5"/>
      <c r="C114" s="7"/>
      <c r="D114" s="5"/>
      <c r="E114" s="7"/>
      <c r="F114" s="7"/>
      <c r="G114" s="7"/>
      <c r="AK114" s="5"/>
      <c r="AQ114" s="5"/>
    </row>
    <row r="115" spans="2:43" x14ac:dyDescent="0.35">
      <c r="B115" s="5"/>
      <c r="C115" s="7"/>
      <c r="D115" s="5"/>
      <c r="E115" s="7"/>
      <c r="F115" s="7"/>
      <c r="G115" s="7"/>
      <c r="AK115" s="5"/>
      <c r="AQ115" s="5"/>
    </row>
    <row r="116" spans="2:43" x14ac:dyDescent="0.35">
      <c r="B116" s="5"/>
      <c r="C116" s="7"/>
      <c r="D116" s="5"/>
      <c r="E116" s="7"/>
      <c r="F116" s="7"/>
      <c r="G116" s="7"/>
      <c r="AK116" s="5"/>
      <c r="AQ116" s="5"/>
    </row>
    <row r="117" spans="2:43" x14ac:dyDescent="0.35">
      <c r="B117" s="5"/>
      <c r="C117" s="7"/>
      <c r="D117" s="5"/>
      <c r="E117" s="7"/>
      <c r="F117" s="7"/>
      <c r="G117" s="7"/>
      <c r="AK117" s="5"/>
      <c r="AQ117" s="5"/>
    </row>
    <row r="118" spans="2:43" x14ac:dyDescent="0.35">
      <c r="B118" s="5"/>
      <c r="C118" s="7"/>
      <c r="D118" s="5"/>
      <c r="E118" s="7"/>
      <c r="F118" s="7"/>
      <c r="G118" s="7"/>
      <c r="AK118" s="5"/>
      <c r="AQ118" s="5"/>
    </row>
    <row r="119" spans="2:43" x14ac:dyDescent="0.35">
      <c r="B119" s="5"/>
      <c r="C119" s="7"/>
      <c r="D119" s="5"/>
      <c r="E119" s="7"/>
      <c r="F119" s="7"/>
      <c r="G119" s="7"/>
      <c r="AK119" s="5"/>
      <c r="AQ119" s="5"/>
    </row>
    <row r="120" spans="2:43" x14ac:dyDescent="0.35">
      <c r="B120" s="5"/>
      <c r="C120" s="7"/>
      <c r="D120" s="5"/>
      <c r="E120" s="7"/>
      <c r="F120" s="7"/>
      <c r="G120" s="7"/>
      <c r="AK120" s="5"/>
      <c r="AQ120" s="5"/>
    </row>
    <row r="121" spans="2:43" x14ac:dyDescent="0.35">
      <c r="B121" s="5"/>
      <c r="C121" s="7"/>
      <c r="D121" s="5"/>
      <c r="E121" s="7"/>
      <c r="F121" s="7"/>
      <c r="G121" s="7"/>
      <c r="AK121" s="5"/>
      <c r="AQ121" s="5"/>
    </row>
    <row r="122" spans="2:43" x14ac:dyDescent="0.35">
      <c r="B122" s="5"/>
      <c r="C122" s="7"/>
      <c r="D122" s="5"/>
      <c r="E122" s="7"/>
      <c r="F122" s="7"/>
      <c r="G122" s="7"/>
      <c r="AK122" s="5"/>
      <c r="AQ122" s="5"/>
    </row>
    <row r="123" spans="2:43" x14ac:dyDescent="0.35">
      <c r="B123" s="5"/>
      <c r="C123" s="7"/>
      <c r="D123" s="5"/>
      <c r="E123" s="7"/>
      <c r="F123" s="7"/>
      <c r="G123" s="7"/>
      <c r="AK123" s="5"/>
      <c r="AQ123" s="5"/>
    </row>
    <row r="124" spans="2:43" x14ac:dyDescent="0.35">
      <c r="B124" s="5"/>
      <c r="C124" s="7"/>
      <c r="D124" s="5"/>
      <c r="E124" s="7"/>
      <c r="F124" s="7"/>
      <c r="G124" s="7"/>
      <c r="AK124" s="5"/>
      <c r="AQ124" s="5"/>
    </row>
    <row r="125" spans="2:43" x14ac:dyDescent="0.35">
      <c r="B125" s="5"/>
      <c r="C125" s="7"/>
      <c r="D125" s="5"/>
      <c r="E125" s="7"/>
      <c r="F125" s="7"/>
      <c r="G125" s="7"/>
      <c r="AK125" s="5"/>
      <c r="AQ125" s="5"/>
    </row>
    <row r="126" spans="2:43" x14ac:dyDescent="0.35">
      <c r="B126" s="5"/>
      <c r="C126" s="7"/>
      <c r="D126" s="5"/>
      <c r="E126" s="7"/>
      <c r="F126" s="7"/>
      <c r="G126" s="7"/>
      <c r="AK126" s="5"/>
      <c r="AQ126" s="5"/>
    </row>
    <row r="127" spans="2:43" x14ac:dyDescent="0.35">
      <c r="B127" s="5"/>
      <c r="C127" s="7"/>
      <c r="D127" s="5"/>
      <c r="E127" s="7"/>
      <c r="F127" s="7"/>
      <c r="G127" s="7"/>
      <c r="AK127" s="5"/>
      <c r="AQ127" s="5"/>
    </row>
    <row r="128" spans="2:43" x14ac:dyDescent="0.35">
      <c r="B128" s="5"/>
      <c r="C128" s="7"/>
      <c r="D128" s="5"/>
      <c r="E128" s="7"/>
      <c r="F128" s="7"/>
      <c r="G128" s="7"/>
      <c r="AK128" s="5"/>
      <c r="AQ128" s="5"/>
    </row>
    <row r="129" spans="2:43" x14ac:dyDescent="0.35">
      <c r="B129" s="5"/>
      <c r="C129" s="7"/>
      <c r="D129" s="5"/>
      <c r="E129" s="7"/>
      <c r="F129" s="7"/>
      <c r="G129" s="7"/>
      <c r="AK129" s="5"/>
      <c r="AQ129" s="5"/>
    </row>
    <row r="130" spans="2:43" x14ac:dyDescent="0.35">
      <c r="B130" s="5"/>
      <c r="C130" s="7"/>
      <c r="D130" s="5"/>
      <c r="E130" s="7"/>
      <c r="F130" s="7"/>
      <c r="G130" s="7"/>
      <c r="AK130" s="5"/>
      <c r="AQ130" s="5"/>
    </row>
    <row r="131" spans="2:43" x14ac:dyDescent="0.35">
      <c r="B131" s="5"/>
      <c r="C131" s="7"/>
      <c r="D131" s="5"/>
      <c r="E131" s="7"/>
      <c r="F131" s="7"/>
      <c r="G131" s="7"/>
      <c r="AK131" s="5"/>
      <c r="AQ131" s="5"/>
    </row>
    <row r="132" spans="2:43" x14ac:dyDescent="0.35">
      <c r="B132" s="5"/>
      <c r="C132" s="7"/>
      <c r="D132" s="5"/>
      <c r="E132" s="7"/>
      <c r="F132" s="7"/>
      <c r="G132" s="7"/>
      <c r="AK132" s="5"/>
      <c r="AQ132" s="5"/>
    </row>
    <row r="133" spans="2:43" x14ac:dyDescent="0.35">
      <c r="B133" s="5"/>
      <c r="C133" s="7"/>
      <c r="D133" s="5"/>
      <c r="E133" s="7"/>
      <c r="F133" s="7"/>
      <c r="G133" s="7"/>
      <c r="AK133" s="5"/>
      <c r="AQ133" s="5"/>
    </row>
    <row r="134" spans="2:43" x14ac:dyDescent="0.35">
      <c r="B134" s="5"/>
      <c r="C134" s="7"/>
      <c r="D134" s="5"/>
      <c r="E134" s="7"/>
      <c r="F134" s="7"/>
      <c r="G134" s="7"/>
      <c r="AK134" s="5"/>
      <c r="AQ134" s="5"/>
    </row>
    <row r="135" spans="2:43" x14ac:dyDescent="0.35">
      <c r="B135" s="5"/>
      <c r="C135" s="7"/>
      <c r="D135" s="5"/>
      <c r="E135" s="7"/>
      <c r="F135" s="7"/>
      <c r="G135" s="7"/>
      <c r="AK135" s="5"/>
      <c r="AQ135" s="5"/>
    </row>
    <row r="136" spans="2:43" x14ac:dyDescent="0.35">
      <c r="B136" s="5"/>
      <c r="C136" s="7"/>
      <c r="D136" s="5"/>
      <c r="E136" s="7"/>
      <c r="F136" s="7"/>
      <c r="G136" s="7"/>
      <c r="AK136" s="5"/>
      <c r="AQ136" s="5"/>
    </row>
    <row r="137" spans="2:43" x14ac:dyDescent="0.35">
      <c r="B137" s="5"/>
      <c r="C137" s="7"/>
      <c r="D137" s="5"/>
      <c r="E137" s="7"/>
      <c r="F137" s="7"/>
      <c r="G137" s="7"/>
      <c r="AK137" s="5"/>
      <c r="AQ137" s="5"/>
    </row>
    <row r="138" spans="2:43" x14ac:dyDescent="0.35">
      <c r="B138" s="5"/>
      <c r="C138" s="7"/>
      <c r="D138" s="5"/>
      <c r="E138" s="7"/>
      <c r="F138" s="7"/>
      <c r="G138" s="7"/>
      <c r="AK138" s="5"/>
      <c r="AQ138" s="5"/>
    </row>
    <row r="139" spans="2:43" x14ac:dyDescent="0.35">
      <c r="B139" s="5"/>
      <c r="C139" s="7"/>
      <c r="D139" s="5"/>
      <c r="E139" s="7"/>
      <c r="F139" s="7"/>
      <c r="G139" s="7"/>
      <c r="AK139" s="5"/>
      <c r="AQ139" s="5"/>
    </row>
    <row r="140" spans="2:43" x14ac:dyDescent="0.35">
      <c r="B140" s="5"/>
      <c r="C140" s="7"/>
      <c r="D140" s="5"/>
      <c r="E140" s="7"/>
      <c r="F140" s="7"/>
      <c r="G140" s="7"/>
      <c r="AK140" s="5"/>
      <c r="AQ140" s="5"/>
    </row>
    <row r="141" spans="2:43" x14ac:dyDescent="0.35">
      <c r="B141" s="5"/>
      <c r="C141" s="7"/>
      <c r="D141" s="5"/>
      <c r="E141" s="7"/>
      <c r="F141" s="7"/>
      <c r="G141" s="7"/>
      <c r="AK141" s="5"/>
      <c r="AQ141" s="5"/>
    </row>
    <row r="142" spans="2:43" x14ac:dyDescent="0.35">
      <c r="B142" s="5"/>
      <c r="C142" s="7"/>
      <c r="D142" s="5"/>
      <c r="E142" s="7"/>
      <c r="F142" s="7"/>
      <c r="G142" s="7"/>
      <c r="AK142" s="5"/>
      <c r="AQ142" s="5"/>
    </row>
    <row r="143" spans="2:43" x14ac:dyDescent="0.35">
      <c r="B143" s="5"/>
      <c r="C143" s="7"/>
      <c r="D143" s="5"/>
      <c r="E143" s="7"/>
      <c r="F143" s="7"/>
      <c r="G143" s="7"/>
      <c r="AK143" s="5"/>
      <c r="AQ143" s="5"/>
    </row>
    <row r="144" spans="2:43" x14ac:dyDescent="0.35">
      <c r="B144" s="5"/>
      <c r="C144" s="7"/>
      <c r="D144" s="5"/>
      <c r="E144" s="7"/>
      <c r="F144" s="7"/>
      <c r="G144" s="7"/>
      <c r="AK144" s="5"/>
      <c r="AQ144" s="5"/>
    </row>
    <row r="145" spans="2:43" x14ac:dyDescent="0.35">
      <c r="B145" s="5"/>
      <c r="C145" s="7"/>
      <c r="D145" s="5"/>
      <c r="E145" s="7"/>
      <c r="F145" s="7"/>
      <c r="G145" s="7"/>
      <c r="AK145" s="5"/>
      <c r="AQ145" s="5"/>
    </row>
    <row r="146" spans="2:43" x14ac:dyDescent="0.35">
      <c r="B146" s="5"/>
      <c r="C146" s="7"/>
      <c r="D146" s="5"/>
      <c r="E146" s="7"/>
      <c r="F146" s="7"/>
      <c r="G146" s="7"/>
      <c r="AK146" s="5"/>
      <c r="AQ146" s="5"/>
    </row>
    <row r="147" spans="2:43" x14ac:dyDescent="0.35">
      <c r="B147" s="5"/>
      <c r="C147" s="7"/>
      <c r="D147" s="5"/>
      <c r="E147" s="7"/>
      <c r="F147" s="7"/>
      <c r="G147" s="7"/>
      <c r="AK147" s="5"/>
      <c r="AQ147" s="5"/>
    </row>
    <row r="148" spans="2:43" x14ac:dyDescent="0.35">
      <c r="B148" s="5"/>
      <c r="C148" s="7"/>
      <c r="D148" s="5"/>
      <c r="E148" s="7"/>
      <c r="F148" s="7"/>
      <c r="G148" s="7"/>
      <c r="AK148" s="5"/>
      <c r="AQ148" s="5"/>
    </row>
    <row r="149" spans="2:43" x14ac:dyDescent="0.35">
      <c r="B149" s="5"/>
      <c r="C149" s="7"/>
      <c r="D149" s="5"/>
      <c r="E149" s="7"/>
      <c r="F149" s="7"/>
      <c r="G149" s="7"/>
      <c r="AK149" s="5"/>
      <c r="AQ149" s="5"/>
    </row>
    <row r="150" spans="2:43" x14ac:dyDescent="0.35">
      <c r="B150" s="5"/>
      <c r="C150" s="7"/>
      <c r="D150" s="5"/>
      <c r="E150" s="7"/>
      <c r="F150" s="7"/>
      <c r="G150" s="7"/>
      <c r="AK150" s="5"/>
      <c r="AQ150" s="5"/>
    </row>
    <row r="151" spans="2:43" x14ac:dyDescent="0.35">
      <c r="B151" s="5"/>
      <c r="C151" s="7"/>
      <c r="D151" s="5"/>
      <c r="E151" s="7"/>
      <c r="F151" s="7"/>
      <c r="G151" s="7"/>
      <c r="AK151" s="5"/>
      <c r="AQ151" s="5"/>
    </row>
    <row r="152" spans="2:43" x14ac:dyDescent="0.35">
      <c r="B152" s="5"/>
      <c r="C152" s="7"/>
      <c r="D152" s="5"/>
      <c r="E152" s="7"/>
      <c r="F152" s="7"/>
      <c r="G152" s="7"/>
      <c r="AK152" s="5"/>
      <c r="AQ152" s="5"/>
    </row>
    <row r="153" spans="2:43" x14ac:dyDescent="0.35">
      <c r="B153" s="5"/>
      <c r="C153" s="7"/>
      <c r="D153" s="5"/>
      <c r="E153" s="7"/>
      <c r="F153" s="7"/>
      <c r="G153" s="7"/>
      <c r="AK153" s="5"/>
      <c r="AQ153" s="5"/>
    </row>
    <row r="154" spans="2:43" x14ac:dyDescent="0.35">
      <c r="B154" s="5"/>
      <c r="C154" s="7"/>
      <c r="D154" s="5"/>
      <c r="E154" s="7"/>
      <c r="F154" s="7"/>
      <c r="G154" s="7"/>
      <c r="AK154" s="5"/>
      <c r="AQ154" s="5"/>
    </row>
    <row r="155" spans="2:43" x14ac:dyDescent="0.35">
      <c r="B155" s="5"/>
      <c r="C155" s="7"/>
      <c r="D155" s="5"/>
      <c r="E155" s="7"/>
      <c r="F155" s="7"/>
      <c r="G155" s="7"/>
      <c r="AK155" s="5"/>
      <c r="AQ155" s="5"/>
    </row>
    <row r="156" spans="2:43" x14ac:dyDescent="0.35">
      <c r="B156" s="5"/>
      <c r="C156" s="7"/>
      <c r="D156" s="5"/>
      <c r="E156" s="7"/>
      <c r="F156" s="7"/>
      <c r="G156" s="7"/>
      <c r="AK156" s="5"/>
      <c r="AQ156" s="5"/>
    </row>
    <row r="157" spans="2:43" x14ac:dyDescent="0.35">
      <c r="B157" s="5"/>
      <c r="C157" s="7"/>
      <c r="D157" s="5"/>
      <c r="E157" s="7"/>
      <c r="F157" s="7"/>
      <c r="G157" s="7"/>
      <c r="AK157" s="5"/>
      <c r="AQ157" s="5"/>
    </row>
    <row r="158" spans="2:43" x14ac:dyDescent="0.35">
      <c r="B158" s="5"/>
      <c r="C158" s="7"/>
      <c r="D158" s="5"/>
      <c r="E158" s="7"/>
      <c r="F158" s="7"/>
      <c r="G158" s="7"/>
      <c r="AK158" s="5"/>
      <c r="AQ158" s="5"/>
    </row>
    <row r="159" spans="2:43" x14ac:dyDescent="0.35">
      <c r="B159" s="5"/>
      <c r="C159" s="7"/>
      <c r="D159" s="5"/>
      <c r="E159" s="7"/>
      <c r="F159" s="7"/>
      <c r="G159" s="7"/>
      <c r="AK159" s="5"/>
      <c r="AQ159" s="5"/>
    </row>
    <row r="160" spans="2:43" x14ac:dyDescent="0.35">
      <c r="B160" s="5"/>
      <c r="C160" s="7"/>
      <c r="D160" s="5"/>
      <c r="E160" s="7"/>
      <c r="F160" s="7"/>
      <c r="G160" s="7"/>
      <c r="AK160" s="5"/>
      <c r="AQ160" s="5"/>
    </row>
    <row r="161" spans="2:43" x14ac:dyDescent="0.35">
      <c r="B161" s="5"/>
      <c r="C161" s="7"/>
      <c r="D161" s="5"/>
      <c r="E161" s="7"/>
      <c r="F161" s="7"/>
      <c r="G161" s="7"/>
      <c r="AK161" s="5"/>
      <c r="AQ161" s="5"/>
    </row>
    <row r="162" spans="2:43" x14ac:dyDescent="0.35">
      <c r="B162" s="5"/>
      <c r="C162" s="7"/>
      <c r="D162" s="5"/>
      <c r="E162" s="7"/>
      <c r="F162" s="7"/>
      <c r="G162" s="7"/>
      <c r="AK162" s="5"/>
      <c r="AQ162" s="5"/>
    </row>
    <row r="163" spans="2:43" x14ac:dyDescent="0.35">
      <c r="B163" s="5"/>
      <c r="C163" s="7"/>
      <c r="D163" s="5"/>
      <c r="E163" s="7"/>
      <c r="F163" s="7"/>
      <c r="G163" s="7"/>
      <c r="AK163" s="5"/>
      <c r="AQ163" s="5"/>
    </row>
    <row r="164" spans="2:43" x14ac:dyDescent="0.35">
      <c r="B164" s="5"/>
      <c r="C164" s="7"/>
      <c r="D164" s="5"/>
      <c r="E164" s="7"/>
      <c r="F164" s="7"/>
      <c r="G164" s="7"/>
      <c r="AK164" s="5"/>
      <c r="AQ164" s="5"/>
    </row>
    <row r="165" spans="2:43" x14ac:dyDescent="0.35">
      <c r="B165" s="5"/>
      <c r="C165" s="7"/>
      <c r="D165" s="5"/>
      <c r="E165" s="7"/>
      <c r="F165" s="7"/>
      <c r="G165" s="7"/>
      <c r="AK165" s="5"/>
      <c r="AQ165" s="5"/>
    </row>
    <row r="166" spans="2:43" x14ac:dyDescent="0.35">
      <c r="B166" s="5"/>
      <c r="C166" s="7"/>
      <c r="D166" s="5"/>
      <c r="E166" s="7"/>
      <c r="F166" s="7"/>
      <c r="G166" s="7"/>
      <c r="AK166" s="5"/>
      <c r="AQ166" s="5"/>
    </row>
    <row r="167" spans="2:43" x14ac:dyDescent="0.35">
      <c r="B167" s="5"/>
      <c r="C167" s="7"/>
      <c r="D167" s="5"/>
      <c r="E167" s="7"/>
      <c r="F167" s="7"/>
      <c r="G167" s="7"/>
      <c r="AK167" s="5"/>
      <c r="AQ167" s="5"/>
    </row>
    <row r="168" spans="2:43" x14ac:dyDescent="0.35">
      <c r="B168" s="5"/>
      <c r="C168" s="7"/>
      <c r="D168" s="5"/>
      <c r="E168" s="7"/>
      <c r="F168" s="7"/>
      <c r="G168" s="7"/>
      <c r="AK168" s="5"/>
      <c r="AQ168" s="5"/>
    </row>
    <row r="169" spans="2:43" x14ac:dyDescent="0.35">
      <c r="B169" s="5"/>
      <c r="C169" s="7"/>
      <c r="D169" s="5"/>
      <c r="E169" s="7"/>
      <c r="F169" s="7"/>
      <c r="G169" s="7"/>
      <c r="AK169" s="5"/>
      <c r="AQ169" s="5"/>
    </row>
    <row r="170" spans="2:43" x14ac:dyDescent="0.35">
      <c r="B170" s="5"/>
      <c r="C170" s="7"/>
      <c r="D170" s="5"/>
      <c r="E170" s="7"/>
      <c r="F170" s="7"/>
      <c r="G170" s="7"/>
      <c r="AK170" s="5"/>
      <c r="AQ170" s="5"/>
    </row>
    <row r="171" spans="2:43" x14ac:dyDescent="0.35">
      <c r="B171" s="5"/>
      <c r="C171" s="7"/>
      <c r="D171" s="5"/>
      <c r="E171" s="7"/>
      <c r="F171" s="7"/>
      <c r="G171" s="7"/>
      <c r="AK171" s="5"/>
      <c r="AQ171" s="5"/>
    </row>
    <row r="172" spans="2:43" x14ac:dyDescent="0.35">
      <c r="B172" s="5"/>
      <c r="C172" s="7"/>
      <c r="D172" s="5"/>
      <c r="E172" s="7"/>
      <c r="F172" s="7"/>
      <c r="G172" s="7"/>
      <c r="AK172" s="5"/>
      <c r="AQ172" s="5"/>
    </row>
    <row r="173" spans="2:43" x14ac:dyDescent="0.35">
      <c r="B173" s="5"/>
      <c r="C173" s="7"/>
      <c r="D173" s="5"/>
      <c r="E173" s="7"/>
      <c r="F173" s="7"/>
      <c r="G173" s="7"/>
      <c r="AK173" s="5"/>
      <c r="AQ173" s="5"/>
    </row>
    <row r="174" spans="2:43" x14ac:dyDescent="0.35">
      <c r="B174" s="5"/>
      <c r="C174" s="7"/>
      <c r="D174" s="5"/>
      <c r="E174" s="7"/>
      <c r="F174" s="7"/>
      <c r="G174" s="7"/>
      <c r="AK174" s="5"/>
      <c r="AQ174" s="5"/>
    </row>
    <row r="175" spans="2:43" x14ac:dyDescent="0.35">
      <c r="B175" s="5"/>
      <c r="C175" s="7"/>
      <c r="D175" s="5"/>
      <c r="E175" s="7"/>
      <c r="F175" s="7"/>
      <c r="G175" s="7"/>
      <c r="AK175" s="5"/>
      <c r="AQ175" s="5"/>
    </row>
    <row r="176" spans="2:43" x14ac:dyDescent="0.35">
      <c r="B176" s="5"/>
      <c r="C176" s="7"/>
      <c r="D176" s="5"/>
      <c r="E176" s="7"/>
      <c r="F176" s="7"/>
      <c r="G176" s="7"/>
      <c r="AK176" s="5"/>
      <c r="AQ176" s="5"/>
    </row>
    <row r="177" spans="2:43" x14ac:dyDescent="0.35">
      <c r="B177" s="5"/>
      <c r="C177" s="7"/>
      <c r="D177" s="5"/>
      <c r="E177" s="7"/>
      <c r="F177" s="7"/>
      <c r="G177" s="7"/>
      <c r="AK177" s="5"/>
      <c r="AQ177" s="5"/>
    </row>
    <row r="178" spans="2:43" x14ac:dyDescent="0.35">
      <c r="B178" s="5"/>
      <c r="C178" s="7"/>
      <c r="D178" s="5"/>
      <c r="E178" s="7"/>
      <c r="F178" s="7"/>
      <c r="G178" s="7"/>
      <c r="AK178" s="5"/>
      <c r="AQ178" s="5"/>
    </row>
    <row r="179" spans="2:43" x14ac:dyDescent="0.35">
      <c r="B179" s="5"/>
      <c r="C179" s="7"/>
      <c r="D179" s="5"/>
      <c r="E179" s="7"/>
      <c r="F179" s="7"/>
      <c r="G179" s="7"/>
      <c r="AK179" s="5"/>
      <c r="AQ179" s="5"/>
    </row>
    <row r="180" spans="2:43" x14ac:dyDescent="0.35">
      <c r="B180" s="5"/>
      <c r="C180" s="7"/>
      <c r="D180" s="5"/>
      <c r="E180" s="7"/>
      <c r="F180" s="7"/>
      <c r="G180" s="7"/>
      <c r="AK180" s="5"/>
      <c r="AQ180" s="5"/>
    </row>
    <row r="181" spans="2:43" x14ac:dyDescent="0.35">
      <c r="B181" s="5"/>
      <c r="C181" s="7"/>
      <c r="D181" s="5"/>
      <c r="E181" s="7"/>
      <c r="F181" s="7"/>
      <c r="G181" s="7"/>
      <c r="AK181" s="5"/>
      <c r="AQ181" s="5"/>
    </row>
    <row r="182" spans="2:43" x14ac:dyDescent="0.35">
      <c r="B182" s="5"/>
      <c r="C182" s="7"/>
      <c r="D182" s="5"/>
      <c r="E182" s="7"/>
      <c r="F182" s="7"/>
      <c r="G182" s="7"/>
      <c r="AK182" s="5"/>
      <c r="AQ182" s="5"/>
    </row>
    <row r="183" spans="2:43" x14ac:dyDescent="0.35">
      <c r="B183" s="5"/>
      <c r="C183" s="7"/>
      <c r="D183" s="5"/>
      <c r="E183" s="7"/>
      <c r="F183" s="7"/>
      <c r="G183" s="7"/>
      <c r="AK183" s="5"/>
      <c r="AQ183" s="5"/>
    </row>
    <row r="184" spans="2:43" x14ac:dyDescent="0.35">
      <c r="B184" s="5"/>
      <c r="C184" s="7"/>
      <c r="D184" s="5"/>
      <c r="E184" s="7"/>
      <c r="F184" s="7"/>
      <c r="G184" s="7"/>
      <c r="AK184" s="5"/>
      <c r="AQ184" s="5"/>
    </row>
    <row r="185" spans="2:43" x14ac:dyDescent="0.35">
      <c r="B185" s="5"/>
      <c r="C185" s="7"/>
      <c r="D185" s="5"/>
      <c r="E185" s="7"/>
      <c r="F185" s="7"/>
      <c r="G185" s="7"/>
      <c r="AK185" s="5"/>
      <c r="AQ185" s="5"/>
    </row>
    <row r="186" spans="2:43" x14ac:dyDescent="0.35">
      <c r="B186" s="5"/>
      <c r="C186" s="7"/>
      <c r="D186" s="5"/>
      <c r="E186" s="7"/>
      <c r="F186" s="7"/>
      <c r="G186" s="7"/>
      <c r="AK186" s="5"/>
      <c r="AQ186" s="5"/>
    </row>
    <row r="187" spans="2:43" x14ac:dyDescent="0.35">
      <c r="B187" s="5"/>
      <c r="C187" s="7"/>
      <c r="D187" s="5"/>
      <c r="E187" s="7"/>
      <c r="F187" s="7"/>
      <c r="G187" s="7"/>
      <c r="AK187" s="5"/>
      <c r="AQ187" s="5"/>
    </row>
    <row r="188" spans="2:43" x14ac:dyDescent="0.35">
      <c r="B188" s="5"/>
      <c r="C188" s="7"/>
      <c r="D188" s="5"/>
      <c r="E188" s="7"/>
      <c r="F188" s="7"/>
      <c r="G188" s="7"/>
      <c r="AK188" s="5"/>
      <c r="AQ188" s="5"/>
    </row>
    <row r="189" spans="2:43" x14ac:dyDescent="0.35">
      <c r="B189" s="5"/>
      <c r="C189" s="7"/>
      <c r="D189" s="5"/>
      <c r="E189" s="7"/>
      <c r="F189" s="7"/>
      <c r="G189" s="7"/>
      <c r="AK189" s="5"/>
      <c r="AQ189" s="5"/>
    </row>
    <row r="190" spans="2:43" x14ac:dyDescent="0.35">
      <c r="B190" s="5"/>
      <c r="C190" s="7"/>
      <c r="D190" s="5"/>
      <c r="E190" s="7"/>
      <c r="F190" s="7"/>
      <c r="G190" s="7"/>
      <c r="AK190" s="5"/>
      <c r="AQ190" s="5"/>
    </row>
    <row r="191" spans="2:43" x14ac:dyDescent="0.35">
      <c r="B191" s="5"/>
      <c r="C191" s="7"/>
      <c r="D191" s="5"/>
      <c r="E191" s="7"/>
      <c r="F191" s="7"/>
      <c r="G191" s="7"/>
      <c r="AK191" s="5"/>
      <c r="AQ191" s="5"/>
    </row>
    <row r="192" spans="2:43" x14ac:dyDescent="0.35">
      <c r="B192" s="5"/>
      <c r="C192" s="7"/>
      <c r="D192" s="5"/>
      <c r="E192" s="7"/>
      <c r="F192" s="7"/>
      <c r="G192" s="7"/>
      <c r="AK192" s="5"/>
      <c r="AQ192" s="5"/>
    </row>
    <row r="193" spans="2:43" x14ac:dyDescent="0.35">
      <c r="B193" s="5"/>
      <c r="C193" s="7"/>
      <c r="D193" s="5"/>
      <c r="E193" s="7"/>
      <c r="F193" s="7"/>
      <c r="G193" s="7"/>
      <c r="AK193" s="5"/>
      <c r="AQ193" s="5"/>
    </row>
    <row r="194" spans="2:43" x14ac:dyDescent="0.35">
      <c r="B194" s="5"/>
      <c r="C194" s="7"/>
      <c r="D194" s="5"/>
      <c r="E194" s="7"/>
      <c r="F194" s="7"/>
      <c r="G194" s="7"/>
      <c r="AK194" s="5"/>
      <c r="AQ194" s="5"/>
    </row>
    <row r="195" spans="2:43" x14ac:dyDescent="0.35">
      <c r="B195" s="5"/>
      <c r="C195" s="7"/>
      <c r="D195" s="5"/>
      <c r="E195" s="7"/>
      <c r="F195" s="7"/>
      <c r="G195" s="7"/>
      <c r="AK195" s="5"/>
      <c r="AQ195" s="5"/>
    </row>
    <row r="196" spans="2:43" x14ac:dyDescent="0.35">
      <c r="B196" s="5"/>
      <c r="C196" s="7"/>
      <c r="D196" s="5"/>
      <c r="E196" s="7"/>
      <c r="F196" s="7"/>
      <c r="G196" s="7"/>
      <c r="AK196" s="5"/>
      <c r="AQ196" s="5"/>
    </row>
    <row r="197" spans="2:43" x14ac:dyDescent="0.35">
      <c r="B197" s="5"/>
      <c r="C197" s="7"/>
      <c r="D197" s="5"/>
      <c r="E197" s="7"/>
      <c r="F197" s="7"/>
      <c r="G197" s="7"/>
      <c r="AK197" s="5"/>
      <c r="AQ197" s="5"/>
    </row>
    <row r="198" spans="2:43" x14ac:dyDescent="0.35">
      <c r="B198" s="5"/>
      <c r="C198" s="7"/>
      <c r="D198" s="5"/>
      <c r="E198" s="7"/>
      <c r="F198" s="7"/>
      <c r="G198" s="7"/>
      <c r="AK198" s="5"/>
      <c r="AQ198" s="5"/>
    </row>
    <row r="199" spans="2:43" x14ac:dyDescent="0.35">
      <c r="B199" s="5"/>
      <c r="C199" s="7"/>
      <c r="D199" s="5"/>
      <c r="E199" s="7"/>
      <c r="F199" s="7"/>
      <c r="G199" s="7"/>
      <c r="AK199" s="5"/>
      <c r="AQ199" s="5"/>
    </row>
    <row r="200" spans="2:43" x14ac:dyDescent="0.35">
      <c r="B200" s="5"/>
      <c r="C200" s="7"/>
      <c r="D200" s="5"/>
      <c r="E200" s="7"/>
      <c r="F200" s="7"/>
      <c r="G200" s="7"/>
      <c r="AK200" s="5"/>
      <c r="AQ200" s="5"/>
    </row>
    <row r="201" spans="2:43" x14ac:dyDescent="0.35">
      <c r="B201" s="5"/>
      <c r="C201" s="7"/>
      <c r="D201" s="5"/>
      <c r="E201" s="7"/>
      <c r="F201" s="7"/>
      <c r="G201" s="7"/>
      <c r="AK201" s="5"/>
      <c r="AQ201" s="5"/>
    </row>
    <row r="202" spans="2:43" x14ac:dyDescent="0.35">
      <c r="B202" s="5"/>
      <c r="C202" s="7"/>
      <c r="D202" s="5"/>
      <c r="E202" s="7"/>
      <c r="F202" s="7"/>
      <c r="G202" s="7"/>
      <c r="AK202" s="5"/>
      <c r="AQ202" s="5"/>
    </row>
    <row r="203" spans="2:43" x14ac:dyDescent="0.35">
      <c r="B203" s="5"/>
      <c r="C203" s="7"/>
      <c r="D203" s="5"/>
      <c r="E203" s="7"/>
      <c r="F203" s="7"/>
      <c r="G203" s="7"/>
      <c r="AK203" s="5"/>
      <c r="AQ203" s="5"/>
    </row>
    <row r="204" spans="2:43" x14ac:dyDescent="0.35">
      <c r="B204" s="5"/>
      <c r="C204" s="7"/>
      <c r="D204" s="5"/>
      <c r="E204" s="7"/>
      <c r="F204" s="7"/>
      <c r="G204" s="7"/>
      <c r="AK204" s="5"/>
      <c r="AQ204" s="5"/>
    </row>
    <row r="205" spans="2:43" x14ac:dyDescent="0.35">
      <c r="B205" s="5"/>
      <c r="C205" s="7"/>
      <c r="D205" s="5"/>
      <c r="E205" s="7"/>
      <c r="F205" s="7"/>
      <c r="G205" s="7"/>
      <c r="AK205" s="5"/>
      <c r="AQ205" s="5"/>
    </row>
    <row r="206" spans="2:43" x14ac:dyDescent="0.35">
      <c r="B206" s="5"/>
      <c r="C206" s="7"/>
      <c r="D206" s="5"/>
      <c r="E206" s="7"/>
      <c r="F206" s="7"/>
      <c r="G206" s="7"/>
      <c r="AK206" s="5"/>
      <c r="AQ206" s="5"/>
    </row>
    <row r="207" spans="2:43" x14ac:dyDescent="0.35">
      <c r="B207" s="5"/>
      <c r="C207" s="7"/>
      <c r="D207" s="5"/>
      <c r="E207" s="7"/>
      <c r="F207" s="7"/>
      <c r="G207" s="7"/>
      <c r="AK207" s="5"/>
      <c r="AQ207" s="5"/>
    </row>
    <row r="208" spans="2:43" x14ac:dyDescent="0.35">
      <c r="B208" s="5"/>
      <c r="C208" s="7"/>
      <c r="D208" s="5"/>
      <c r="E208" s="7"/>
      <c r="F208" s="7"/>
      <c r="G208" s="7"/>
      <c r="AK208" s="5"/>
      <c r="AQ208" s="5"/>
    </row>
    <row r="209" spans="2:43" x14ac:dyDescent="0.35">
      <c r="B209" s="5"/>
      <c r="C209" s="7"/>
      <c r="D209" s="5"/>
      <c r="E209" s="7"/>
      <c r="F209" s="7"/>
      <c r="G209" s="7"/>
      <c r="AK209" s="5"/>
      <c r="AQ209" s="5"/>
    </row>
    <row r="210" spans="2:43" x14ac:dyDescent="0.35">
      <c r="B210" s="5"/>
      <c r="C210" s="7"/>
      <c r="D210" s="5"/>
      <c r="E210" s="7"/>
      <c r="F210" s="7"/>
      <c r="G210" s="7"/>
      <c r="AK210" s="5"/>
      <c r="AQ210" s="5"/>
    </row>
    <row r="211" spans="2:43" x14ac:dyDescent="0.35">
      <c r="B211" s="5"/>
      <c r="C211" s="7"/>
      <c r="D211" s="5"/>
      <c r="E211" s="7"/>
      <c r="F211" s="7"/>
      <c r="G211" s="7"/>
      <c r="AK211" s="5"/>
      <c r="AQ211" s="5"/>
    </row>
    <row r="212" spans="2:43" x14ac:dyDescent="0.35">
      <c r="B212" s="5"/>
      <c r="C212" s="7"/>
      <c r="D212" s="5"/>
      <c r="E212" s="7"/>
      <c r="F212" s="7"/>
      <c r="G212" s="7"/>
      <c r="AK212" s="5"/>
      <c r="AQ212" s="5"/>
    </row>
    <row r="213" spans="2:43" x14ac:dyDescent="0.35">
      <c r="B213" s="5"/>
      <c r="C213" s="7"/>
      <c r="D213" s="5"/>
      <c r="E213" s="7"/>
      <c r="F213" s="7"/>
      <c r="G213" s="7"/>
      <c r="AK213" s="5"/>
      <c r="AQ213" s="5"/>
    </row>
    <row r="214" spans="2:43" x14ac:dyDescent="0.35">
      <c r="B214" s="5"/>
      <c r="C214" s="7"/>
      <c r="D214" s="5"/>
      <c r="E214" s="7"/>
      <c r="F214" s="7"/>
      <c r="G214" s="7"/>
      <c r="AK214" s="5"/>
      <c r="AQ214" s="5"/>
    </row>
    <row r="215" spans="2:43" x14ac:dyDescent="0.35">
      <c r="B215" s="5"/>
      <c r="C215" s="7"/>
      <c r="D215" s="5"/>
      <c r="E215" s="7"/>
      <c r="F215" s="7"/>
      <c r="G215" s="7"/>
      <c r="AK215" s="5"/>
      <c r="AQ215" s="5"/>
    </row>
    <row r="216" spans="2:43" x14ac:dyDescent="0.35">
      <c r="B216" s="5"/>
      <c r="C216" s="7"/>
      <c r="D216" s="5"/>
      <c r="E216" s="7"/>
      <c r="F216" s="7"/>
      <c r="G216" s="7"/>
      <c r="AK216" s="5"/>
      <c r="AQ216" s="5"/>
    </row>
    <row r="217" spans="2:43" x14ac:dyDescent="0.35">
      <c r="B217" s="5"/>
      <c r="C217" s="7"/>
      <c r="D217" s="5"/>
      <c r="E217" s="7"/>
      <c r="F217" s="7"/>
      <c r="G217" s="7"/>
      <c r="AK217" s="5"/>
      <c r="AQ217" s="5"/>
    </row>
    <row r="218" spans="2:43" x14ac:dyDescent="0.35">
      <c r="B218" s="5"/>
      <c r="C218" s="7"/>
      <c r="D218" s="5"/>
      <c r="E218" s="7"/>
      <c r="F218" s="7"/>
      <c r="G218" s="7"/>
      <c r="AK218" s="5"/>
      <c r="AQ218" s="5"/>
    </row>
    <row r="219" spans="2:43" x14ac:dyDescent="0.35">
      <c r="B219" s="5"/>
      <c r="C219" s="7"/>
      <c r="D219" s="5"/>
      <c r="E219" s="7"/>
      <c r="F219" s="7"/>
      <c r="G219" s="7"/>
      <c r="AK219" s="5"/>
      <c r="AQ219" s="5"/>
    </row>
    <row r="220" spans="2:43" x14ac:dyDescent="0.35">
      <c r="B220" s="5"/>
      <c r="C220" s="7"/>
      <c r="D220" s="5"/>
      <c r="E220" s="7"/>
      <c r="F220" s="7"/>
      <c r="G220" s="7"/>
      <c r="AK220" s="5"/>
      <c r="AQ220" s="5"/>
    </row>
    <row r="221" spans="2:43" x14ac:dyDescent="0.35">
      <c r="B221" s="5"/>
      <c r="C221" s="7"/>
      <c r="D221" s="5"/>
      <c r="E221" s="7"/>
      <c r="F221" s="7"/>
      <c r="G221" s="7"/>
      <c r="AK221" s="5"/>
      <c r="AQ221" s="5"/>
    </row>
    <row r="222" spans="2:43" x14ac:dyDescent="0.35">
      <c r="B222" s="5"/>
      <c r="C222" s="7"/>
      <c r="D222" s="5"/>
      <c r="E222" s="7"/>
      <c r="F222" s="7"/>
      <c r="G222" s="7"/>
      <c r="AK222" s="5"/>
      <c r="AQ222" s="5"/>
    </row>
    <row r="223" spans="2:43" x14ac:dyDescent="0.35">
      <c r="B223" s="5"/>
      <c r="C223" s="7"/>
      <c r="D223" s="5"/>
      <c r="E223" s="7"/>
      <c r="F223" s="7"/>
      <c r="G223" s="7"/>
      <c r="AK223" s="5"/>
      <c r="AQ223" s="5"/>
    </row>
    <row r="224" spans="2:43" x14ac:dyDescent="0.35">
      <c r="B224" s="5"/>
      <c r="C224" s="7"/>
      <c r="D224" s="5"/>
      <c r="E224" s="7"/>
      <c r="F224" s="7"/>
      <c r="G224" s="7"/>
      <c r="AK224" s="5"/>
      <c r="AQ224" s="5"/>
    </row>
    <row r="225" spans="2:43" x14ac:dyDescent="0.35">
      <c r="B225" s="5"/>
      <c r="C225" s="7"/>
      <c r="D225" s="5"/>
      <c r="E225" s="7"/>
      <c r="F225" s="7"/>
      <c r="G225" s="7"/>
      <c r="AK225" s="5"/>
      <c r="AQ225" s="5"/>
    </row>
    <row r="226" spans="2:43" x14ac:dyDescent="0.35">
      <c r="B226" s="5"/>
      <c r="C226" s="7"/>
      <c r="D226" s="5"/>
      <c r="E226" s="7"/>
      <c r="F226" s="7"/>
      <c r="G226" s="7"/>
      <c r="AK226" s="5"/>
      <c r="AQ226" s="5"/>
    </row>
    <row r="227" spans="2:43" x14ac:dyDescent="0.35">
      <c r="B227" s="5"/>
      <c r="C227" s="7"/>
      <c r="D227" s="5"/>
      <c r="E227" s="7"/>
      <c r="F227" s="7"/>
      <c r="G227" s="7"/>
      <c r="AK227" s="5"/>
      <c r="AQ227" s="5"/>
    </row>
    <row r="228" spans="2:43" x14ac:dyDescent="0.35">
      <c r="B228" s="5"/>
      <c r="C228" s="7"/>
      <c r="D228" s="5"/>
      <c r="E228" s="7"/>
      <c r="F228" s="7"/>
      <c r="G228" s="7"/>
      <c r="AK228" s="5"/>
      <c r="AQ228" s="5"/>
    </row>
    <row r="229" spans="2:43" x14ac:dyDescent="0.35">
      <c r="B229" s="5"/>
      <c r="C229" s="7"/>
      <c r="D229" s="5"/>
      <c r="E229" s="7"/>
      <c r="F229" s="7"/>
      <c r="G229" s="7"/>
      <c r="AK229" s="5"/>
      <c r="AQ229" s="5"/>
    </row>
    <row r="230" spans="2:43" x14ac:dyDescent="0.35">
      <c r="B230" s="5"/>
      <c r="C230" s="7"/>
      <c r="D230" s="5"/>
      <c r="E230" s="7"/>
      <c r="F230" s="7"/>
      <c r="G230" s="7"/>
      <c r="AK230" s="5"/>
      <c r="AQ230" s="5"/>
    </row>
    <row r="231" spans="2:43" x14ac:dyDescent="0.35">
      <c r="B231" s="5"/>
      <c r="C231" s="7"/>
      <c r="D231" s="5"/>
      <c r="E231" s="7"/>
      <c r="F231" s="7"/>
      <c r="G231" s="7"/>
      <c r="AK231" s="5"/>
      <c r="AQ231" s="5"/>
    </row>
    <row r="232" spans="2:43" x14ac:dyDescent="0.35">
      <c r="B232" s="5"/>
      <c r="C232" s="7"/>
      <c r="D232" s="5"/>
      <c r="E232" s="7"/>
      <c r="F232" s="7"/>
      <c r="G232" s="7"/>
      <c r="AK232" s="5"/>
      <c r="AQ232" s="5"/>
    </row>
    <row r="233" spans="2:43" x14ac:dyDescent="0.35">
      <c r="B233" s="5"/>
      <c r="C233" s="7"/>
      <c r="D233" s="5"/>
      <c r="E233" s="7"/>
      <c r="F233" s="7"/>
      <c r="G233" s="7"/>
      <c r="AK233" s="5"/>
      <c r="AQ233" s="5"/>
    </row>
    <row r="234" spans="2:43" x14ac:dyDescent="0.35">
      <c r="B234" s="5"/>
      <c r="C234" s="7"/>
      <c r="D234" s="5"/>
      <c r="E234" s="7"/>
      <c r="F234" s="7"/>
      <c r="G234" s="7"/>
      <c r="AK234" s="5"/>
      <c r="AQ234" s="5"/>
    </row>
    <row r="235" spans="2:43" x14ac:dyDescent="0.35">
      <c r="B235" s="5"/>
      <c r="C235" s="7"/>
      <c r="D235" s="5"/>
      <c r="E235" s="7"/>
      <c r="F235" s="7"/>
      <c r="G235" s="7"/>
      <c r="AK235" s="5"/>
      <c r="AQ235" s="5"/>
    </row>
    <row r="236" spans="2:43" x14ac:dyDescent="0.35">
      <c r="B236" s="5"/>
      <c r="C236" s="7"/>
      <c r="D236" s="5"/>
      <c r="E236" s="7"/>
      <c r="F236" s="7"/>
      <c r="G236" s="7"/>
      <c r="AK236" s="5"/>
      <c r="AQ236" s="5"/>
    </row>
    <row r="237" spans="2:43" x14ac:dyDescent="0.35">
      <c r="B237" s="5"/>
      <c r="C237" s="7"/>
      <c r="D237" s="5"/>
      <c r="E237" s="7"/>
      <c r="F237" s="7"/>
      <c r="G237" s="7"/>
      <c r="AK237" s="5"/>
      <c r="AQ237" s="5"/>
    </row>
    <row r="238" spans="2:43" x14ac:dyDescent="0.35">
      <c r="B238" s="5"/>
      <c r="C238" s="7"/>
      <c r="D238" s="5"/>
      <c r="E238" s="7"/>
      <c r="F238" s="7"/>
      <c r="G238" s="7"/>
      <c r="AK238" s="5"/>
      <c r="AQ238" s="5"/>
    </row>
    <row r="239" spans="2:43" x14ac:dyDescent="0.35">
      <c r="B239" s="5"/>
      <c r="C239" s="7"/>
      <c r="D239" s="5"/>
      <c r="E239" s="7"/>
      <c r="F239" s="7"/>
      <c r="G239" s="7"/>
      <c r="AK239" s="5"/>
      <c r="AQ239" s="5"/>
    </row>
    <row r="240" spans="2:43" x14ac:dyDescent="0.35">
      <c r="B240" s="5"/>
      <c r="C240" s="7"/>
      <c r="D240" s="5"/>
      <c r="E240" s="7"/>
      <c r="F240" s="7"/>
      <c r="G240" s="7"/>
      <c r="AK240" s="5"/>
      <c r="AQ240" s="5"/>
    </row>
    <row r="241" spans="2:43" x14ac:dyDescent="0.35">
      <c r="B241" s="5"/>
      <c r="C241" s="7"/>
      <c r="D241" s="5"/>
      <c r="E241" s="7"/>
      <c r="F241" s="7"/>
      <c r="G241" s="7"/>
      <c r="AK241" s="5"/>
      <c r="AQ241" s="5"/>
    </row>
    <row r="242" spans="2:43" x14ac:dyDescent="0.35">
      <c r="B242" s="5"/>
      <c r="C242" s="7"/>
      <c r="D242" s="5"/>
      <c r="E242" s="7"/>
      <c r="F242" s="7"/>
      <c r="G242" s="7"/>
      <c r="AK242" s="5"/>
      <c r="AQ242" s="5"/>
    </row>
    <row r="243" spans="2:43" x14ac:dyDescent="0.35">
      <c r="B243" s="5"/>
      <c r="C243" s="7"/>
      <c r="D243" s="5"/>
      <c r="E243" s="7"/>
      <c r="F243" s="7"/>
      <c r="G243" s="7"/>
      <c r="AK243" s="5"/>
      <c r="AQ243" s="5"/>
    </row>
    <row r="244" spans="2:43" x14ac:dyDescent="0.35">
      <c r="B244" s="5"/>
      <c r="C244" s="7"/>
      <c r="D244" s="5"/>
      <c r="E244" s="7"/>
      <c r="F244" s="7"/>
      <c r="G244" s="7"/>
      <c r="AK244" s="5"/>
      <c r="AQ244" s="5"/>
    </row>
    <row r="245" spans="2:43" x14ac:dyDescent="0.35">
      <c r="B245" s="5"/>
      <c r="C245" s="7"/>
      <c r="D245" s="5"/>
      <c r="E245" s="7"/>
      <c r="F245" s="7"/>
      <c r="G245" s="7"/>
      <c r="AK245" s="5"/>
      <c r="AQ245" s="5"/>
    </row>
    <row r="246" spans="2:43" x14ac:dyDescent="0.35">
      <c r="B246" s="5"/>
      <c r="C246" s="7"/>
      <c r="D246" s="5"/>
      <c r="E246" s="7"/>
      <c r="F246" s="7"/>
      <c r="G246" s="7"/>
      <c r="AK246" s="5"/>
      <c r="AQ246" s="5"/>
    </row>
    <row r="247" spans="2:43" x14ac:dyDescent="0.35">
      <c r="B247" s="5"/>
      <c r="C247" s="7"/>
      <c r="D247" s="5"/>
      <c r="E247" s="7"/>
      <c r="F247" s="7"/>
      <c r="G247" s="7"/>
      <c r="AK247" s="5"/>
      <c r="AQ247" s="5"/>
    </row>
    <row r="248" spans="2:43" x14ac:dyDescent="0.35">
      <c r="B248" s="5"/>
      <c r="C248" s="7"/>
      <c r="D248" s="5"/>
      <c r="E248" s="7"/>
      <c r="F248" s="7"/>
      <c r="G248" s="7"/>
      <c r="AK248" s="5"/>
      <c r="AQ248" s="5"/>
    </row>
    <row r="249" spans="2:43" x14ac:dyDescent="0.35">
      <c r="B249" s="5"/>
      <c r="C249" s="7"/>
      <c r="D249" s="5"/>
      <c r="E249" s="7"/>
      <c r="F249" s="7"/>
      <c r="G249" s="7"/>
      <c r="AK249" s="5"/>
      <c r="AQ249" s="5"/>
    </row>
    <row r="250" spans="2:43" x14ac:dyDescent="0.35">
      <c r="B250" s="5"/>
      <c r="C250" s="7"/>
      <c r="D250" s="5"/>
      <c r="E250" s="7"/>
      <c r="F250" s="7"/>
      <c r="G250" s="7"/>
      <c r="AK250" s="5"/>
      <c r="AQ250" s="5"/>
    </row>
    <row r="251" spans="2:43" x14ac:dyDescent="0.35">
      <c r="B251" s="5"/>
      <c r="C251" s="7"/>
      <c r="D251" s="5"/>
      <c r="E251" s="7"/>
      <c r="F251" s="7"/>
      <c r="G251" s="7"/>
      <c r="AK251" s="5"/>
      <c r="AQ251" s="5"/>
    </row>
    <row r="252" spans="2:43" x14ac:dyDescent="0.35">
      <c r="B252" s="5"/>
      <c r="C252" s="7"/>
      <c r="D252" s="5"/>
      <c r="E252" s="7"/>
      <c r="F252" s="7"/>
      <c r="G252" s="7"/>
      <c r="AK252" s="5"/>
      <c r="AQ252" s="5"/>
    </row>
    <row r="253" spans="2:43" x14ac:dyDescent="0.35">
      <c r="B253" s="5"/>
      <c r="C253" s="7"/>
      <c r="D253" s="5"/>
      <c r="E253" s="7"/>
      <c r="F253" s="7"/>
      <c r="G253" s="7"/>
      <c r="AK253" s="5"/>
      <c r="AQ253" s="5"/>
    </row>
    <row r="254" spans="2:43" x14ac:dyDescent="0.35">
      <c r="B254" s="5"/>
      <c r="C254" s="7"/>
      <c r="D254" s="5"/>
      <c r="E254" s="7"/>
      <c r="F254" s="7"/>
      <c r="G254" s="7"/>
      <c r="AK254" s="5"/>
      <c r="AQ254" s="5"/>
    </row>
    <row r="255" spans="2:43" x14ac:dyDescent="0.35">
      <c r="B255" s="5"/>
      <c r="C255" s="7"/>
      <c r="D255" s="5"/>
      <c r="E255" s="7"/>
      <c r="F255" s="7"/>
      <c r="G255" s="7"/>
      <c r="AK255" s="5"/>
      <c r="AQ255" s="5"/>
    </row>
    <row r="256" spans="2:43" x14ac:dyDescent="0.35">
      <c r="B256" s="5"/>
      <c r="C256" s="7"/>
      <c r="D256" s="5"/>
      <c r="E256" s="7"/>
      <c r="F256" s="7"/>
      <c r="G256" s="7"/>
      <c r="AK256" s="5"/>
      <c r="AQ256" s="5"/>
    </row>
    <row r="257" spans="2:43" x14ac:dyDescent="0.35">
      <c r="B257" s="5"/>
      <c r="C257" s="7"/>
      <c r="D257" s="5"/>
      <c r="E257" s="7"/>
      <c r="F257" s="7"/>
      <c r="G257" s="7"/>
      <c r="AK257" s="5"/>
      <c r="AQ257" s="5"/>
    </row>
    <row r="258" spans="2:43" x14ac:dyDescent="0.35">
      <c r="B258" s="5"/>
      <c r="C258" s="7"/>
      <c r="D258" s="5"/>
      <c r="E258" s="7"/>
      <c r="F258" s="7"/>
      <c r="G258" s="7"/>
      <c r="AK258" s="5"/>
      <c r="AQ258" s="5"/>
    </row>
    <row r="259" spans="2:43" x14ac:dyDescent="0.35">
      <c r="B259" s="5"/>
      <c r="C259" s="7"/>
      <c r="D259" s="5"/>
      <c r="E259" s="7"/>
      <c r="F259" s="7"/>
      <c r="G259" s="7"/>
      <c r="AK259" s="5"/>
      <c r="AQ259" s="5"/>
    </row>
    <row r="260" spans="2:43" x14ac:dyDescent="0.35">
      <c r="B260" s="5"/>
      <c r="C260" s="7"/>
      <c r="D260" s="5"/>
      <c r="E260" s="7"/>
      <c r="F260" s="7"/>
      <c r="G260" s="7"/>
      <c r="AK260" s="5"/>
      <c r="AQ260" s="5"/>
    </row>
    <row r="261" spans="2:43" x14ac:dyDescent="0.35">
      <c r="B261" s="5"/>
      <c r="C261" s="7"/>
      <c r="D261" s="5"/>
      <c r="E261" s="7"/>
      <c r="F261" s="7"/>
      <c r="G261" s="7"/>
      <c r="AK261" s="5"/>
      <c r="AQ261" s="5"/>
    </row>
    <row r="262" spans="2:43" x14ac:dyDescent="0.35">
      <c r="B262" s="5"/>
      <c r="C262" s="7"/>
      <c r="D262" s="5"/>
      <c r="E262" s="7"/>
      <c r="F262" s="7"/>
      <c r="G262" s="7"/>
      <c r="AK262" s="5"/>
      <c r="AQ262" s="5"/>
    </row>
    <row r="263" spans="2:43" x14ac:dyDescent="0.35">
      <c r="B263" s="5"/>
      <c r="C263" s="7"/>
      <c r="D263" s="5"/>
      <c r="E263" s="7"/>
      <c r="F263" s="7"/>
      <c r="G263" s="7"/>
      <c r="AK263" s="5"/>
      <c r="AQ263" s="5"/>
    </row>
    <row r="264" spans="2:43" x14ac:dyDescent="0.35">
      <c r="B264" s="5"/>
      <c r="C264" s="7"/>
      <c r="D264" s="5"/>
      <c r="E264" s="7"/>
      <c r="F264" s="7"/>
      <c r="G264" s="7"/>
      <c r="AK264" s="5"/>
      <c r="AQ264" s="5"/>
    </row>
    <row r="265" spans="2:43" x14ac:dyDescent="0.35">
      <c r="B265" s="5"/>
      <c r="C265" s="7"/>
      <c r="D265" s="5"/>
      <c r="E265" s="7"/>
      <c r="F265" s="7"/>
      <c r="G265" s="7"/>
      <c r="AK265" s="5"/>
      <c r="AQ265" s="5"/>
    </row>
    <row r="266" spans="2:43" x14ac:dyDescent="0.35">
      <c r="B266" s="5"/>
      <c r="C266" s="7"/>
      <c r="D266" s="5"/>
      <c r="E266" s="7"/>
      <c r="F266" s="7"/>
      <c r="G266" s="7"/>
      <c r="AK266" s="5"/>
      <c r="AQ266" s="5"/>
    </row>
    <row r="267" spans="2:43" x14ac:dyDescent="0.35">
      <c r="B267" s="5"/>
      <c r="C267" s="7"/>
      <c r="D267" s="5"/>
      <c r="E267" s="7"/>
      <c r="F267" s="7"/>
      <c r="G267" s="7"/>
      <c r="AK267" s="5"/>
      <c r="AQ267" s="5"/>
    </row>
    <row r="268" spans="2:43" x14ac:dyDescent="0.35">
      <c r="B268" s="5"/>
      <c r="C268" s="7"/>
      <c r="D268" s="5"/>
      <c r="E268" s="7"/>
      <c r="F268" s="7"/>
      <c r="G268" s="7"/>
      <c r="AK268" s="5"/>
      <c r="AQ268" s="5"/>
    </row>
    <row r="269" spans="2:43" x14ac:dyDescent="0.35">
      <c r="B269" s="5"/>
      <c r="C269" s="7"/>
      <c r="D269" s="5"/>
      <c r="E269" s="7"/>
      <c r="F269" s="7"/>
      <c r="G269" s="7"/>
      <c r="AK269" s="5"/>
      <c r="AQ269" s="5"/>
    </row>
    <row r="270" spans="2:43" x14ac:dyDescent="0.35">
      <c r="B270" s="5"/>
      <c r="C270" s="7"/>
      <c r="D270" s="5"/>
      <c r="E270" s="7"/>
      <c r="F270" s="7"/>
      <c r="G270" s="7"/>
      <c r="AK270" s="5"/>
      <c r="AQ270" s="5"/>
    </row>
    <row r="271" spans="2:43" x14ac:dyDescent="0.35">
      <c r="B271" s="5"/>
      <c r="C271" s="7"/>
      <c r="D271" s="5"/>
      <c r="E271" s="7"/>
      <c r="F271" s="7"/>
      <c r="G271" s="7"/>
      <c r="AK271" s="5"/>
      <c r="AQ271" s="5"/>
    </row>
    <row r="272" spans="2:43" x14ac:dyDescent="0.35">
      <c r="B272" s="5"/>
      <c r="C272" s="7"/>
      <c r="D272" s="5"/>
      <c r="E272" s="7"/>
      <c r="F272" s="7"/>
      <c r="G272" s="7"/>
      <c r="AK272" s="5"/>
      <c r="AQ272" s="5"/>
    </row>
    <row r="273" spans="2:43" x14ac:dyDescent="0.35">
      <c r="B273" s="5"/>
      <c r="C273" s="7"/>
      <c r="D273" s="5"/>
      <c r="E273" s="7"/>
      <c r="F273" s="7"/>
      <c r="G273" s="7"/>
      <c r="AK273" s="5"/>
      <c r="AQ273" s="5"/>
    </row>
    <row r="274" spans="2:43" x14ac:dyDescent="0.35">
      <c r="B274" s="5"/>
      <c r="C274" s="7"/>
      <c r="D274" s="5"/>
      <c r="E274" s="7"/>
      <c r="F274" s="7"/>
      <c r="G274" s="7"/>
      <c r="AK274" s="5"/>
      <c r="AQ274" s="5"/>
    </row>
    <row r="275" spans="2:43" x14ac:dyDescent="0.35">
      <c r="B275" s="5"/>
      <c r="C275" s="7"/>
      <c r="D275" s="5"/>
      <c r="E275" s="7"/>
      <c r="F275" s="7"/>
      <c r="G275" s="7"/>
      <c r="AK275" s="5"/>
      <c r="AQ275" s="5"/>
    </row>
    <row r="276" spans="2:43" x14ac:dyDescent="0.35">
      <c r="B276" s="5"/>
      <c r="C276" s="7"/>
      <c r="D276" s="5"/>
      <c r="E276" s="7"/>
      <c r="F276" s="7"/>
      <c r="G276" s="7"/>
      <c r="AK276" s="5"/>
      <c r="AQ276" s="5"/>
    </row>
    <row r="277" spans="2:43" x14ac:dyDescent="0.35">
      <c r="B277" s="5"/>
      <c r="C277" s="7"/>
      <c r="D277" s="5"/>
      <c r="E277" s="7"/>
      <c r="F277" s="7"/>
      <c r="G277" s="7"/>
      <c r="AK277" s="5"/>
      <c r="AQ277" s="5"/>
    </row>
    <row r="278" spans="2:43" x14ac:dyDescent="0.35">
      <c r="B278" s="5"/>
      <c r="C278" s="7"/>
      <c r="D278" s="5"/>
      <c r="E278" s="7"/>
      <c r="F278" s="7"/>
      <c r="G278" s="7"/>
      <c r="AK278" s="5"/>
      <c r="AQ278" s="5"/>
    </row>
    <row r="279" spans="2:43" x14ac:dyDescent="0.35">
      <c r="B279" s="5"/>
      <c r="C279" s="7"/>
      <c r="D279" s="5"/>
      <c r="E279" s="7"/>
      <c r="F279" s="7"/>
      <c r="G279" s="7"/>
      <c r="AK279" s="5"/>
      <c r="AQ279" s="5"/>
    </row>
    <row r="280" spans="2:43" x14ac:dyDescent="0.35">
      <c r="B280" s="5"/>
      <c r="C280" s="7"/>
      <c r="D280" s="5"/>
      <c r="E280" s="7"/>
      <c r="F280" s="7"/>
      <c r="G280" s="7"/>
      <c r="AK280" s="5"/>
      <c r="AQ280" s="5"/>
    </row>
    <row r="281" spans="2:43" x14ac:dyDescent="0.35">
      <c r="B281" s="5"/>
      <c r="C281" s="7"/>
      <c r="D281" s="5"/>
      <c r="E281" s="7"/>
      <c r="F281" s="7"/>
      <c r="G281" s="7"/>
      <c r="AK281" s="5"/>
      <c r="AQ281" s="5"/>
    </row>
    <row r="282" spans="2:43" x14ac:dyDescent="0.35">
      <c r="B282" s="5"/>
      <c r="C282" s="7"/>
      <c r="D282" s="5"/>
      <c r="E282" s="7"/>
      <c r="F282" s="7"/>
      <c r="G282" s="7"/>
      <c r="AK282" s="5"/>
      <c r="AQ282" s="5"/>
    </row>
    <row r="283" spans="2:43" x14ac:dyDescent="0.35">
      <c r="B283" s="5"/>
      <c r="C283" s="7"/>
      <c r="D283" s="5"/>
      <c r="E283" s="7"/>
      <c r="F283" s="7"/>
      <c r="G283" s="7"/>
      <c r="AK283" s="5"/>
      <c r="AQ283" s="5"/>
    </row>
    <row r="284" spans="2:43" x14ac:dyDescent="0.35">
      <c r="B284" s="5"/>
      <c r="C284" s="7"/>
      <c r="D284" s="5"/>
      <c r="E284" s="7"/>
      <c r="F284" s="7"/>
      <c r="G284" s="7"/>
      <c r="AK284" s="5"/>
      <c r="AQ284" s="5"/>
    </row>
    <row r="285" spans="2:43" x14ac:dyDescent="0.35">
      <c r="B285" s="5"/>
      <c r="C285" s="7"/>
      <c r="D285" s="5"/>
      <c r="E285" s="7"/>
      <c r="F285" s="7"/>
      <c r="G285" s="7"/>
      <c r="AK285" s="5"/>
      <c r="AQ285" s="5"/>
    </row>
    <row r="286" spans="2:43" x14ac:dyDescent="0.35">
      <c r="B286" s="5"/>
      <c r="C286" s="7"/>
      <c r="D286" s="5"/>
      <c r="E286" s="7"/>
      <c r="F286" s="7"/>
      <c r="G286" s="7"/>
      <c r="AK286" s="5"/>
      <c r="AQ286" s="5"/>
    </row>
    <row r="287" spans="2:43" x14ac:dyDescent="0.35">
      <c r="B287" s="5"/>
      <c r="C287" s="7"/>
      <c r="D287" s="5"/>
      <c r="E287" s="7"/>
      <c r="F287" s="7"/>
      <c r="G287" s="7"/>
      <c r="AK287" s="5"/>
      <c r="AQ287" s="5"/>
    </row>
    <row r="288" spans="2:43" x14ac:dyDescent="0.35">
      <c r="B288" s="5"/>
      <c r="C288" s="7"/>
      <c r="D288" s="5"/>
      <c r="E288" s="7"/>
      <c r="F288" s="7"/>
      <c r="G288" s="7"/>
      <c r="AK288" s="5"/>
      <c r="AQ288" s="5"/>
    </row>
    <row r="289" spans="2:43" x14ac:dyDescent="0.35">
      <c r="B289" s="5"/>
      <c r="C289" s="7"/>
      <c r="D289" s="5"/>
      <c r="E289" s="7"/>
      <c r="F289" s="7"/>
      <c r="G289" s="7"/>
      <c r="AK289" s="5"/>
      <c r="AQ289" s="5"/>
    </row>
    <row r="290" spans="2:43" x14ac:dyDescent="0.35">
      <c r="B290" s="5"/>
      <c r="C290" s="7"/>
      <c r="D290" s="5"/>
      <c r="E290" s="7"/>
      <c r="F290" s="7"/>
      <c r="G290" s="7"/>
      <c r="AK290" s="5"/>
      <c r="AQ290" s="5"/>
    </row>
    <row r="291" spans="2:43" x14ac:dyDescent="0.35">
      <c r="B291" s="5"/>
      <c r="C291" s="7"/>
      <c r="D291" s="5"/>
      <c r="E291" s="7"/>
      <c r="F291" s="7"/>
      <c r="G291" s="7"/>
      <c r="AK291" s="5"/>
      <c r="AQ291" s="5"/>
    </row>
    <row r="292" spans="2:43" x14ac:dyDescent="0.35">
      <c r="B292" s="5"/>
      <c r="C292" s="7"/>
      <c r="D292" s="5"/>
      <c r="E292" s="7"/>
      <c r="F292" s="7"/>
      <c r="G292" s="7"/>
      <c r="AK292" s="5"/>
      <c r="AQ292" s="5"/>
    </row>
    <row r="293" spans="2:43" x14ac:dyDescent="0.35">
      <c r="B293" s="5"/>
      <c r="C293" s="7"/>
      <c r="D293" s="5"/>
      <c r="E293" s="7"/>
      <c r="F293" s="7"/>
      <c r="G293" s="7"/>
      <c r="AK293" s="5"/>
      <c r="AQ293" s="5"/>
    </row>
    <row r="294" spans="2:43" x14ac:dyDescent="0.35">
      <c r="B294" s="5"/>
      <c r="C294" s="7"/>
      <c r="D294" s="5"/>
      <c r="E294" s="7"/>
      <c r="F294" s="7"/>
      <c r="G294" s="7"/>
      <c r="AK294" s="5"/>
      <c r="AQ294" s="5"/>
    </row>
    <row r="295" spans="2:43" x14ac:dyDescent="0.35">
      <c r="B295" s="5"/>
      <c r="C295" s="7"/>
      <c r="D295" s="5"/>
      <c r="E295" s="7"/>
      <c r="F295" s="7"/>
      <c r="G295" s="7"/>
      <c r="AK295" s="5"/>
      <c r="AQ295" s="5"/>
    </row>
    <row r="296" spans="2:43" x14ac:dyDescent="0.35">
      <c r="B296" s="5"/>
      <c r="C296" s="7"/>
      <c r="D296" s="5"/>
      <c r="E296" s="7"/>
      <c r="F296" s="7"/>
      <c r="G296" s="7"/>
      <c r="AK296" s="5"/>
      <c r="AQ296" s="5"/>
    </row>
    <row r="297" spans="2:43" x14ac:dyDescent="0.35">
      <c r="B297" s="5"/>
      <c r="C297" s="7"/>
      <c r="D297" s="5"/>
      <c r="E297" s="7"/>
      <c r="F297" s="7"/>
      <c r="G297" s="7"/>
      <c r="AK297" s="5"/>
      <c r="AQ297" s="5"/>
    </row>
    <row r="298" spans="2:43" x14ac:dyDescent="0.35">
      <c r="B298" s="5"/>
      <c r="C298" s="7"/>
      <c r="D298" s="5"/>
      <c r="E298" s="7"/>
      <c r="F298" s="7"/>
      <c r="G298" s="7"/>
      <c r="AK298" s="5"/>
      <c r="AQ298" s="5"/>
    </row>
    <row r="299" spans="2:43" x14ac:dyDescent="0.35">
      <c r="B299" s="5"/>
      <c r="C299" s="7"/>
      <c r="D299" s="5"/>
      <c r="E299" s="7"/>
      <c r="F299" s="7"/>
      <c r="G299" s="7"/>
      <c r="AK299" s="5"/>
      <c r="AQ299" s="5"/>
    </row>
    <row r="300" spans="2:43" x14ac:dyDescent="0.35">
      <c r="B300" s="5"/>
      <c r="C300" s="7"/>
      <c r="D300" s="5"/>
      <c r="E300" s="7"/>
      <c r="F300" s="7"/>
      <c r="G300" s="7"/>
      <c r="AK300" s="5"/>
      <c r="AQ300" s="5"/>
    </row>
    <row r="301" spans="2:43" x14ac:dyDescent="0.35">
      <c r="B301" s="5"/>
      <c r="C301" s="7"/>
      <c r="D301" s="5"/>
      <c r="E301" s="7"/>
      <c r="F301" s="7"/>
      <c r="G301" s="7"/>
      <c r="AK301" s="5"/>
      <c r="AQ301" s="5"/>
    </row>
    <row r="302" spans="2:43" x14ac:dyDescent="0.35">
      <c r="B302" s="5"/>
      <c r="C302" s="7"/>
      <c r="D302" s="5"/>
      <c r="E302" s="7"/>
      <c r="F302" s="7"/>
      <c r="G302" s="7"/>
      <c r="AK302" s="5"/>
      <c r="AQ302" s="5"/>
    </row>
    <row r="303" spans="2:43" x14ac:dyDescent="0.35">
      <c r="B303" s="5"/>
      <c r="C303" s="7"/>
      <c r="D303" s="5"/>
      <c r="E303" s="7"/>
      <c r="F303" s="7"/>
      <c r="G303" s="7"/>
      <c r="AK303" s="5"/>
      <c r="AQ303" s="5"/>
    </row>
    <row r="304" spans="2:43" x14ac:dyDescent="0.35">
      <c r="B304" s="5"/>
      <c r="C304" s="7"/>
      <c r="D304" s="5"/>
      <c r="E304" s="7"/>
      <c r="F304" s="7"/>
      <c r="G304" s="7"/>
      <c r="AK304" s="5"/>
      <c r="AQ304" s="5"/>
    </row>
    <row r="305" spans="2:43" x14ac:dyDescent="0.35">
      <c r="B305" s="5"/>
      <c r="C305" s="7"/>
      <c r="D305" s="5"/>
      <c r="E305" s="7"/>
      <c r="F305" s="7"/>
      <c r="G305" s="7"/>
      <c r="AK305" s="5"/>
      <c r="AQ305" s="5"/>
    </row>
    <row r="306" spans="2:43" x14ac:dyDescent="0.35">
      <c r="B306" s="5"/>
      <c r="C306" s="7"/>
      <c r="D306" s="5"/>
      <c r="E306" s="7"/>
      <c r="F306" s="7"/>
      <c r="G306" s="7"/>
      <c r="AK306" s="5"/>
      <c r="AQ306" s="5"/>
    </row>
    <row r="307" spans="2:43" x14ac:dyDescent="0.35">
      <c r="B307" s="5"/>
      <c r="C307" s="7"/>
      <c r="D307" s="5"/>
      <c r="E307" s="7"/>
      <c r="F307" s="7"/>
      <c r="G307" s="7"/>
      <c r="AK307" s="5"/>
      <c r="AQ307" s="5"/>
    </row>
    <row r="308" spans="2:43" x14ac:dyDescent="0.35">
      <c r="B308" s="5"/>
      <c r="C308" s="7"/>
      <c r="D308" s="5"/>
      <c r="E308" s="7"/>
      <c r="F308" s="7"/>
      <c r="G308" s="7"/>
      <c r="AK308" s="5"/>
      <c r="AQ308" s="5"/>
    </row>
    <row r="309" spans="2:43" x14ac:dyDescent="0.35">
      <c r="B309" s="5"/>
      <c r="C309" s="7"/>
      <c r="D309" s="5"/>
      <c r="E309" s="7"/>
      <c r="F309" s="7"/>
      <c r="G309" s="7"/>
      <c r="AK309" s="5"/>
      <c r="AQ309" s="5"/>
    </row>
    <row r="310" spans="2:43" x14ac:dyDescent="0.35">
      <c r="B310" s="5"/>
      <c r="C310" s="7"/>
      <c r="D310" s="5"/>
      <c r="E310" s="7"/>
      <c r="F310" s="7"/>
      <c r="G310" s="7"/>
      <c r="AK310" s="5"/>
      <c r="AQ310" s="5"/>
    </row>
    <row r="311" spans="2:43" x14ac:dyDescent="0.35">
      <c r="B311" s="5"/>
      <c r="C311" s="7"/>
      <c r="D311" s="5"/>
      <c r="E311" s="7"/>
      <c r="F311" s="7"/>
      <c r="G311" s="7"/>
      <c r="AK311" s="5"/>
      <c r="AQ311" s="5"/>
    </row>
    <row r="312" spans="2:43" x14ac:dyDescent="0.35">
      <c r="B312" s="5"/>
      <c r="C312" s="7"/>
      <c r="D312" s="5"/>
      <c r="E312" s="7"/>
      <c r="F312" s="7"/>
      <c r="G312" s="7"/>
      <c r="AK312" s="5"/>
      <c r="AQ312" s="5"/>
    </row>
    <row r="313" spans="2:43" x14ac:dyDescent="0.35">
      <c r="B313" s="5"/>
      <c r="C313" s="7"/>
      <c r="D313" s="5"/>
      <c r="E313" s="7"/>
      <c r="F313" s="7"/>
      <c r="G313" s="7"/>
      <c r="AK313" s="5"/>
      <c r="AQ313" s="5"/>
    </row>
    <row r="314" spans="2:43" x14ac:dyDescent="0.35">
      <c r="B314" s="5"/>
      <c r="C314" s="7"/>
      <c r="D314" s="5"/>
      <c r="E314" s="7"/>
      <c r="F314" s="7"/>
      <c r="G314" s="7"/>
      <c r="AK314" s="5"/>
      <c r="AQ314" s="5"/>
    </row>
    <row r="315" spans="2:43" x14ac:dyDescent="0.35">
      <c r="B315" s="5"/>
      <c r="C315" s="7"/>
      <c r="D315" s="5"/>
      <c r="E315" s="7"/>
      <c r="F315" s="7"/>
      <c r="G315" s="7"/>
      <c r="AK315" s="5"/>
      <c r="AQ315" s="5"/>
    </row>
    <row r="316" spans="2:43" x14ac:dyDescent="0.35">
      <c r="B316" s="5"/>
      <c r="C316" s="7"/>
      <c r="D316" s="5"/>
      <c r="E316" s="7"/>
      <c r="F316" s="7"/>
      <c r="G316" s="7"/>
      <c r="AK316" s="5"/>
      <c r="AQ316" s="5"/>
    </row>
    <row r="317" spans="2:43" x14ac:dyDescent="0.35">
      <c r="B317" s="5"/>
      <c r="C317" s="7"/>
      <c r="D317" s="5"/>
      <c r="E317" s="7"/>
      <c r="F317" s="7"/>
      <c r="G317" s="7"/>
      <c r="AK317" s="5"/>
      <c r="AQ317" s="5"/>
    </row>
    <row r="318" spans="2:43" x14ac:dyDescent="0.35">
      <c r="B318" s="5"/>
      <c r="C318" s="7"/>
      <c r="D318" s="5"/>
      <c r="E318" s="7"/>
      <c r="F318" s="7"/>
      <c r="G318" s="7"/>
      <c r="AK318" s="5"/>
      <c r="AQ318" s="5"/>
    </row>
    <row r="319" spans="2:43" x14ac:dyDescent="0.35">
      <c r="B319" s="5"/>
      <c r="C319" s="7"/>
      <c r="D319" s="5"/>
      <c r="E319" s="7"/>
      <c r="F319" s="7"/>
      <c r="G319" s="7"/>
      <c r="AK319" s="5"/>
      <c r="AQ319" s="5"/>
    </row>
    <row r="320" spans="2:43" x14ac:dyDescent="0.35">
      <c r="B320" s="5"/>
      <c r="C320" s="7"/>
      <c r="D320" s="5"/>
      <c r="E320" s="7"/>
      <c r="F320" s="7"/>
      <c r="G320" s="7"/>
      <c r="AK320" s="5"/>
      <c r="AQ320" s="5"/>
    </row>
    <row r="321" spans="2:43" x14ac:dyDescent="0.35">
      <c r="B321" s="5"/>
      <c r="C321" s="7"/>
      <c r="D321" s="5"/>
      <c r="E321" s="7"/>
      <c r="F321" s="7"/>
      <c r="G321" s="7"/>
      <c r="AK321" s="5"/>
      <c r="AQ321" s="5"/>
    </row>
    <row r="322" spans="2:43" x14ac:dyDescent="0.35">
      <c r="B322" s="5"/>
      <c r="C322" s="7"/>
      <c r="D322" s="5"/>
      <c r="E322" s="7"/>
      <c r="F322" s="7"/>
      <c r="G322" s="7"/>
      <c r="AK322" s="5"/>
      <c r="AQ322" s="5"/>
    </row>
    <row r="323" spans="2:43" x14ac:dyDescent="0.35">
      <c r="B323" s="5"/>
      <c r="C323" s="7"/>
      <c r="D323" s="5"/>
      <c r="E323" s="7"/>
      <c r="F323" s="7"/>
      <c r="G323" s="7"/>
      <c r="AK323" s="5"/>
      <c r="AQ323" s="5"/>
    </row>
    <row r="324" spans="2:43" x14ac:dyDescent="0.35">
      <c r="B324" s="5"/>
      <c r="C324" s="7"/>
      <c r="D324" s="5"/>
      <c r="E324" s="7"/>
      <c r="F324" s="7"/>
      <c r="G324" s="7"/>
      <c r="AK324" s="5"/>
      <c r="AQ324" s="5"/>
    </row>
    <row r="325" spans="2:43" x14ac:dyDescent="0.35">
      <c r="B325" s="5"/>
      <c r="C325" s="7"/>
      <c r="D325" s="5"/>
      <c r="E325" s="7"/>
      <c r="F325" s="7"/>
      <c r="G325" s="7"/>
      <c r="AK325" s="5"/>
      <c r="AQ325" s="5"/>
    </row>
    <row r="326" spans="2:43" x14ac:dyDescent="0.35">
      <c r="B326" s="5"/>
      <c r="C326" s="7"/>
      <c r="D326" s="5"/>
      <c r="E326" s="7"/>
      <c r="F326" s="7"/>
      <c r="G326" s="7"/>
      <c r="AK326" s="5"/>
      <c r="AQ326" s="5"/>
    </row>
    <row r="327" spans="2:43" x14ac:dyDescent="0.35">
      <c r="B327" s="5"/>
      <c r="C327" s="7"/>
      <c r="D327" s="5"/>
      <c r="E327" s="7"/>
      <c r="F327" s="7"/>
      <c r="G327" s="7"/>
      <c r="AK327" s="5"/>
      <c r="AQ327" s="5"/>
    </row>
    <row r="328" spans="2:43" x14ac:dyDescent="0.35">
      <c r="B328" s="5"/>
      <c r="C328" s="7"/>
      <c r="D328" s="5"/>
      <c r="E328" s="7"/>
      <c r="F328" s="7"/>
      <c r="G328" s="7"/>
      <c r="AK328" s="5"/>
      <c r="AQ328" s="5"/>
    </row>
    <row r="329" spans="2:43" x14ac:dyDescent="0.35">
      <c r="B329" s="5"/>
      <c r="C329" s="7"/>
      <c r="D329" s="5"/>
      <c r="E329" s="7"/>
      <c r="F329" s="7"/>
      <c r="G329" s="7"/>
      <c r="AK329" s="5"/>
      <c r="AQ329" s="5"/>
    </row>
    <row r="330" spans="2:43" x14ac:dyDescent="0.35">
      <c r="B330" s="5"/>
      <c r="C330" s="7"/>
      <c r="D330" s="5"/>
      <c r="E330" s="7"/>
      <c r="F330" s="7"/>
      <c r="G330" s="7"/>
      <c r="AK330" s="5"/>
      <c r="AQ330" s="5"/>
    </row>
    <row r="331" spans="2:43" x14ac:dyDescent="0.35">
      <c r="B331" s="5"/>
      <c r="C331" s="7"/>
      <c r="D331" s="5"/>
      <c r="E331" s="7"/>
      <c r="F331" s="7"/>
      <c r="G331" s="7"/>
      <c r="AK331" s="5"/>
      <c r="AQ331" s="5"/>
    </row>
    <row r="332" spans="2:43" x14ac:dyDescent="0.35">
      <c r="B332" s="5"/>
      <c r="C332" s="7"/>
      <c r="D332" s="5"/>
      <c r="E332" s="7"/>
      <c r="F332" s="7"/>
      <c r="G332" s="7"/>
      <c r="AK332" s="5"/>
      <c r="AQ332" s="5"/>
    </row>
    <row r="333" spans="2:43" x14ac:dyDescent="0.35">
      <c r="B333" s="5"/>
      <c r="C333" s="7"/>
      <c r="D333" s="5"/>
      <c r="E333" s="7"/>
      <c r="F333" s="7"/>
      <c r="G333" s="7"/>
      <c r="AK333" s="5"/>
      <c r="AQ333" s="5"/>
    </row>
    <row r="334" spans="2:43" x14ac:dyDescent="0.35">
      <c r="B334" s="5"/>
      <c r="C334" s="7"/>
      <c r="D334" s="5"/>
      <c r="E334" s="7"/>
      <c r="F334" s="7"/>
      <c r="G334" s="7"/>
      <c r="AK334" s="5"/>
      <c r="AQ334" s="5"/>
    </row>
    <row r="335" spans="2:43" x14ac:dyDescent="0.35">
      <c r="B335" s="5"/>
      <c r="C335" s="7"/>
      <c r="D335" s="5"/>
      <c r="E335" s="7"/>
      <c r="F335" s="7"/>
      <c r="G335" s="7"/>
      <c r="AK335" s="5"/>
      <c r="AQ335" s="5"/>
    </row>
    <row r="336" spans="2:43" x14ac:dyDescent="0.35">
      <c r="B336" s="5"/>
      <c r="C336" s="7"/>
      <c r="D336" s="5"/>
      <c r="E336" s="7"/>
      <c r="F336" s="7"/>
      <c r="G336" s="7"/>
      <c r="AK336" s="5"/>
      <c r="AQ336" s="5"/>
    </row>
    <row r="337" spans="2:43" x14ac:dyDescent="0.35">
      <c r="B337" s="5"/>
      <c r="C337" s="7"/>
      <c r="D337" s="5"/>
      <c r="E337" s="7"/>
      <c r="F337" s="7"/>
      <c r="G337" s="7"/>
      <c r="AK337" s="5"/>
      <c r="AQ337" s="5"/>
    </row>
    <row r="338" spans="2:43" x14ac:dyDescent="0.35">
      <c r="B338" s="5"/>
      <c r="C338" s="7"/>
      <c r="D338" s="5"/>
      <c r="E338" s="7"/>
      <c r="F338" s="7"/>
      <c r="G338" s="7"/>
      <c r="AK338" s="5"/>
      <c r="AQ338" s="5"/>
    </row>
    <row r="339" spans="2:43" x14ac:dyDescent="0.35">
      <c r="B339" s="5"/>
      <c r="C339" s="7"/>
      <c r="D339" s="5"/>
      <c r="E339" s="7"/>
      <c r="F339" s="7"/>
      <c r="G339" s="7"/>
      <c r="AK339" s="5"/>
      <c r="AQ339" s="5"/>
    </row>
    <row r="340" spans="2:43" x14ac:dyDescent="0.35">
      <c r="B340" s="5"/>
      <c r="C340" s="7"/>
      <c r="D340" s="5"/>
      <c r="E340" s="7"/>
      <c r="F340" s="7"/>
      <c r="G340" s="7"/>
      <c r="AK340" s="5"/>
      <c r="AQ340" s="5"/>
    </row>
    <row r="341" spans="2:43" x14ac:dyDescent="0.35">
      <c r="B341" s="5"/>
      <c r="C341" s="7"/>
      <c r="D341" s="5"/>
      <c r="E341" s="7"/>
      <c r="F341" s="7"/>
      <c r="G341" s="7"/>
      <c r="AK341" s="5"/>
      <c r="AQ341" s="5"/>
    </row>
    <row r="342" spans="2:43" x14ac:dyDescent="0.35">
      <c r="B342" s="5"/>
      <c r="C342" s="7"/>
      <c r="D342" s="5"/>
      <c r="E342" s="7"/>
      <c r="F342" s="7"/>
      <c r="G342" s="7"/>
      <c r="AK342" s="5"/>
      <c r="AQ342" s="5"/>
    </row>
    <row r="343" spans="2:43" x14ac:dyDescent="0.35">
      <c r="B343" s="5"/>
      <c r="C343" s="7"/>
      <c r="D343" s="5"/>
      <c r="E343" s="7"/>
      <c r="F343" s="7"/>
      <c r="G343" s="7"/>
      <c r="AK343" s="5"/>
      <c r="AQ343" s="5"/>
    </row>
    <row r="344" spans="2:43" x14ac:dyDescent="0.35">
      <c r="B344" s="5"/>
      <c r="C344" s="7"/>
      <c r="D344" s="5"/>
      <c r="E344" s="7"/>
      <c r="F344" s="7"/>
      <c r="G344" s="7"/>
      <c r="AK344" s="5"/>
      <c r="AQ344" s="5"/>
    </row>
    <row r="345" spans="2:43" x14ac:dyDescent="0.35">
      <c r="B345" s="5"/>
      <c r="C345" s="7"/>
      <c r="D345" s="5"/>
      <c r="E345" s="7"/>
      <c r="F345" s="7"/>
      <c r="G345" s="7"/>
      <c r="AK345" s="5"/>
      <c r="AQ345" s="5"/>
    </row>
    <row r="346" spans="2:43" x14ac:dyDescent="0.35">
      <c r="B346" s="5"/>
      <c r="C346" s="7"/>
      <c r="D346" s="5"/>
      <c r="E346" s="7"/>
      <c r="F346" s="7"/>
      <c r="G346" s="7"/>
      <c r="AK346" s="5"/>
      <c r="AQ346" s="5"/>
    </row>
    <row r="347" spans="2:43" x14ac:dyDescent="0.35">
      <c r="B347" s="5"/>
      <c r="C347" s="7"/>
      <c r="D347" s="5"/>
      <c r="E347" s="7"/>
      <c r="F347" s="7"/>
      <c r="G347" s="7"/>
      <c r="AK347" s="5"/>
      <c r="AQ347" s="5"/>
    </row>
    <row r="348" spans="2:43" x14ac:dyDescent="0.35">
      <c r="B348" s="5"/>
      <c r="C348" s="7"/>
      <c r="D348" s="5"/>
      <c r="E348" s="7"/>
      <c r="F348" s="7"/>
      <c r="G348" s="7"/>
      <c r="AK348" s="5"/>
      <c r="AQ348" s="5"/>
    </row>
    <row r="349" spans="2:43" x14ac:dyDescent="0.35">
      <c r="B349" s="5"/>
      <c r="C349" s="7"/>
      <c r="D349" s="5"/>
      <c r="E349" s="7"/>
      <c r="F349" s="7"/>
      <c r="G349" s="7"/>
      <c r="AK349" s="5"/>
      <c r="AQ349" s="5"/>
    </row>
    <row r="350" spans="2:43" x14ac:dyDescent="0.35">
      <c r="B350" s="5"/>
      <c r="C350" s="7"/>
      <c r="D350" s="5"/>
      <c r="E350" s="7"/>
      <c r="F350" s="7"/>
      <c r="G350" s="7"/>
      <c r="AK350" s="5"/>
      <c r="AQ350" s="5"/>
    </row>
    <row r="351" spans="2:43" x14ac:dyDescent="0.35">
      <c r="B351" s="5"/>
      <c r="C351" s="7"/>
      <c r="D351" s="5"/>
      <c r="E351" s="7"/>
      <c r="F351" s="7"/>
      <c r="G351" s="7"/>
      <c r="AK351" s="5"/>
      <c r="AQ351" s="5"/>
    </row>
    <row r="352" spans="2:43" x14ac:dyDescent="0.35">
      <c r="B352" s="5"/>
      <c r="C352" s="7"/>
      <c r="D352" s="5"/>
      <c r="E352" s="7"/>
      <c r="F352" s="7"/>
      <c r="G352" s="7"/>
      <c r="AK352" s="5"/>
      <c r="AQ352" s="5"/>
    </row>
    <row r="353" spans="2:43" x14ac:dyDescent="0.35">
      <c r="B353" s="5"/>
      <c r="C353" s="7"/>
      <c r="D353" s="5"/>
      <c r="E353" s="7"/>
      <c r="F353" s="7"/>
      <c r="G353" s="7"/>
      <c r="AK353" s="5"/>
      <c r="AQ353" s="5"/>
    </row>
    <row r="354" spans="2:43" x14ac:dyDescent="0.35">
      <c r="B354" s="5"/>
      <c r="C354" s="7"/>
      <c r="D354" s="5"/>
      <c r="E354" s="7"/>
      <c r="F354" s="7"/>
      <c r="G354" s="7"/>
      <c r="AK354" s="5"/>
      <c r="AQ354" s="5"/>
    </row>
    <row r="355" spans="2:43" x14ac:dyDescent="0.35">
      <c r="B355" s="5"/>
      <c r="C355" s="7"/>
      <c r="D355" s="5"/>
      <c r="E355" s="7"/>
      <c r="F355" s="7"/>
      <c r="G355" s="7"/>
      <c r="AK355" s="5"/>
      <c r="AQ355" s="5"/>
    </row>
    <row r="356" spans="2:43" x14ac:dyDescent="0.35">
      <c r="B356" s="5"/>
      <c r="C356" s="7"/>
      <c r="D356" s="5"/>
      <c r="E356" s="7"/>
      <c r="F356" s="7"/>
      <c r="G356" s="7"/>
      <c r="AK356" s="5"/>
      <c r="AQ356" s="5"/>
    </row>
    <row r="357" spans="2:43" x14ac:dyDescent="0.35">
      <c r="B357" s="5"/>
      <c r="C357" s="7"/>
      <c r="D357" s="5"/>
      <c r="E357" s="7"/>
      <c r="F357" s="7"/>
      <c r="G357" s="7"/>
      <c r="AK357" s="5"/>
      <c r="AQ357" s="5"/>
    </row>
    <row r="358" spans="2:43" x14ac:dyDescent="0.35">
      <c r="B358" s="5"/>
      <c r="C358" s="7"/>
      <c r="D358" s="5"/>
      <c r="E358" s="7"/>
      <c r="F358" s="7"/>
      <c r="G358" s="7"/>
      <c r="AK358" s="5"/>
      <c r="AQ358" s="5"/>
    </row>
    <row r="359" spans="2:43" x14ac:dyDescent="0.35">
      <c r="B359" s="5"/>
      <c r="C359" s="7"/>
      <c r="D359" s="5"/>
      <c r="E359" s="7"/>
      <c r="F359" s="7"/>
      <c r="G359" s="7"/>
      <c r="AK359" s="5"/>
      <c r="AQ359" s="5"/>
    </row>
    <row r="360" spans="2:43" x14ac:dyDescent="0.35">
      <c r="B360" s="5"/>
      <c r="C360" s="7"/>
      <c r="D360" s="5"/>
      <c r="E360" s="7"/>
      <c r="F360" s="7"/>
      <c r="G360" s="7"/>
      <c r="AK360" s="5"/>
      <c r="AQ360" s="5"/>
    </row>
    <row r="361" spans="2:43" x14ac:dyDescent="0.35">
      <c r="B361" s="5"/>
      <c r="C361" s="7"/>
      <c r="D361" s="5"/>
      <c r="E361" s="7"/>
      <c r="F361" s="7"/>
      <c r="G361" s="7"/>
      <c r="AK361" s="5"/>
      <c r="AQ361" s="5"/>
    </row>
    <row r="362" spans="2:43" x14ac:dyDescent="0.35">
      <c r="B362" s="5"/>
      <c r="C362" s="7"/>
      <c r="D362" s="5"/>
      <c r="E362" s="7"/>
      <c r="F362" s="7"/>
      <c r="G362" s="7"/>
      <c r="AK362" s="5"/>
      <c r="AQ362" s="5"/>
    </row>
    <row r="363" spans="2:43" x14ac:dyDescent="0.35">
      <c r="B363" s="5"/>
      <c r="C363" s="7"/>
      <c r="D363" s="5"/>
      <c r="E363" s="7"/>
      <c r="F363" s="7"/>
      <c r="G363" s="7"/>
      <c r="AK363" s="5"/>
      <c r="AQ363" s="5"/>
    </row>
    <row r="364" spans="2:43" x14ac:dyDescent="0.35">
      <c r="B364" s="5"/>
      <c r="C364" s="7"/>
      <c r="D364" s="5"/>
      <c r="E364" s="7"/>
      <c r="F364" s="7"/>
      <c r="G364" s="7"/>
      <c r="AK364" s="5"/>
      <c r="AQ364" s="5"/>
    </row>
    <row r="365" spans="2:43" x14ac:dyDescent="0.35">
      <c r="B365" s="5"/>
      <c r="C365" s="7"/>
      <c r="D365" s="5"/>
      <c r="E365" s="7"/>
      <c r="F365" s="7"/>
      <c r="G365" s="7"/>
      <c r="AK365" s="5"/>
      <c r="AQ365" s="5"/>
    </row>
    <row r="366" spans="2:43" x14ac:dyDescent="0.35">
      <c r="B366" s="5"/>
      <c r="C366" s="7"/>
      <c r="D366" s="5"/>
      <c r="E366" s="7"/>
      <c r="F366" s="7"/>
      <c r="G366" s="7"/>
      <c r="AK366" s="5"/>
      <c r="AQ366" s="5"/>
    </row>
    <row r="367" spans="2:43" x14ac:dyDescent="0.35">
      <c r="B367" s="5"/>
      <c r="C367" s="7"/>
      <c r="D367" s="5"/>
      <c r="E367" s="7"/>
      <c r="F367" s="7"/>
      <c r="G367" s="7"/>
      <c r="AK367" s="5"/>
      <c r="AQ367" s="5"/>
    </row>
    <row r="368" spans="2:43" x14ac:dyDescent="0.35">
      <c r="B368" s="5"/>
      <c r="C368" s="7"/>
      <c r="D368" s="5"/>
      <c r="E368" s="7"/>
      <c r="F368" s="7"/>
      <c r="G368" s="7"/>
      <c r="AK368" s="5"/>
      <c r="AQ368" s="5"/>
    </row>
    <row r="369" spans="2:43" x14ac:dyDescent="0.35">
      <c r="B369" s="5"/>
      <c r="C369" s="7"/>
      <c r="D369" s="5"/>
      <c r="E369" s="7"/>
      <c r="F369" s="7"/>
      <c r="G369" s="7"/>
      <c r="AK369" s="5"/>
      <c r="AQ369" s="5"/>
    </row>
    <row r="370" spans="2:43" x14ac:dyDescent="0.35">
      <c r="B370" s="5"/>
      <c r="C370" s="7"/>
      <c r="D370" s="5"/>
      <c r="E370" s="7"/>
      <c r="F370" s="7"/>
      <c r="G370" s="7"/>
      <c r="AK370" s="5"/>
      <c r="AQ370" s="5"/>
    </row>
    <row r="371" spans="2:43" x14ac:dyDescent="0.35">
      <c r="B371" s="5"/>
      <c r="C371" s="7"/>
      <c r="D371" s="5"/>
      <c r="E371" s="7"/>
      <c r="F371" s="7"/>
      <c r="G371" s="7"/>
      <c r="AK371" s="5"/>
      <c r="AQ371" s="5"/>
    </row>
    <row r="372" spans="2:43" x14ac:dyDescent="0.35">
      <c r="B372" s="5"/>
      <c r="C372" s="7"/>
      <c r="D372" s="5"/>
      <c r="E372" s="7"/>
      <c r="F372" s="7"/>
      <c r="G372" s="7"/>
      <c r="AK372" s="5"/>
      <c r="AQ372" s="5"/>
    </row>
    <row r="373" spans="2:43" x14ac:dyDescent="0.35">
      <c r="B373" s="5"/>
      <c r="C373" s="7"/>
      <c r="D373" s="5"/>
      <c r="E373" s="7"/>
      <c r="F373" s="7"/>
      <c r="G373" s="7"/>
      <c r="AK373" s="5"/>
      <c r="AQ373" s="5"/>
    </row>
    <row r="374" spans="2:43" x14ac:dyDescent="0.35">
      <c r="B374" s="5"/>
      <c r="C374" s="7"/>
      <c r="D374" s="5"/>
      <c r="E374" s="7"/>
      <c r="F374" s="7"/>
      <c r="G374" s="7"/>
      <c r="AK374" s="5"/>
      <c r="AQ374" s="5"/>
    </row>
    <row r="375" spans="2:43" x14ac:dyDescent="0.35">
      <c r="B375" s="5"/>
      <c r="C375" s="7"/>
      <c r="D375" s="5"/>
      <c r="E375" s="7"/>
      <c r="F375" s="7"/>
      <c r="G375" s="7"/>
      <c r="AK375" s="5"/>
      <c r="AQ375" s="5"/>
    </row>
    <row r="376" spans="2:43" x14ac:dyDescent="0.35">
      <c r="B376" s="5"/>
      <c r="C376" s="7"/>
      <c r="D376" s="5"/>
      <c r="E376" s="7"/>
      <c r="F376" s="7"/>
      <c r="G376" s="7"/>
      <c r="AK376" s="5"/>
      <c r="AQ376" s="5"/>
    </row>
    <row r="377" spans="2:43" x14ac:dyDescent="0.35">
      <c r="B377" s="5"/>
      <c r="C377" s="7"/>
      <c r="D377" s="5"/>
      <c r="E377" s="7"/>
      <c r="F377" s="7"/>
      <c r="G377" s="7"/>
      <c r="AK377" s="5"/>
      <c r="AQ377" s="5"/>
    </row>
    <row r="378" spans="2:43" x14ac:dyDescent="0.35">
      <c r="B378" s="5"/>
      <c r="C378" s="7"/>
      <c r="D378" s="5"/>
      <c r="E378" s="7"/>
      <c r="F378" s="7"/>
      <c r="G378" s="7"/>
      <c r="AK378" s="5"/>
      <c r="AQ378" s="5"/>
    </row>
    <row r="379" spans="2:43" x14ac:dyDescent="0.35">
      <c r="B379" s="5"/>
      <c r="C379" s="7"/>
      <c r="D379" s="5"/>
      <c r="E379" s="7"/>
      <c r="F379" s="7"/>
      <c r="G379" s="7"/>
      <c r="AK379" s="5"/>
      <c r="AQ379" s="5"/>
    </row>
    <row r="380" spans="2:43" x14ac:dyDescent="0.35">
      <c r="B380" s="5"/>
      <c r="C380" s="7"/>
      <c r="D380" s="5"/>
      <c r="E380" s="7"/>
      <c r="F380" s="7"/>
      <c r="G380" s="7"/>
      <c r="AK380" s="5"/>
      <c r="AQ380" s="5"/>
    </row>
    <row r="381" spans="2:43" x14ac:dyDescent="0.35">
      <c r="B381" s="5"/>
      <c r="C381" s="7"/>
      <c r="D381" s="5"/>
      <c r="E381" s="7"/>
      <c r="F381" s="7"/>
      <c r="G381" s="7"/>
      <c r="AK381" s="5"/>
      <c r="AQ381" s="5"/>
    </row>
    <row r="382" spans="2:43" x14ac:dyDescent="0.35">
      <c r="B382" s="5"/>
      <c r="C382" s="7"/>
      <c r="D382" s="5"/>
      <c r="E382" s="7"/>
      <c r="F382" s="7"/>
      <c r="G382" s="7"/>
      <c r="AK382" s="5"/>
      <c r="AQ382" s="5"/>
    </row>
    <row r="383" spans="2:43" x14ac:dyDescent="0.35">
      <c r="B383" s="5"/>
      <c r="C383" s="7"/>
      <c r="D383" s="5"/>
      <c r="E383" s="7"/>
      <c r="F383" s="7"/>
      <c r="G383" s="7"/>
      <c r="AK383" s="5"/>
      <c r="AQ383" s="5"/>
    </row>
    <row r="384" spans="2:43" x14ac:dyDescent="0.35">
      <c r="B384" s="5"/>
      <c r="C384" s="7"/>
      <c r="D384" s="5"/>
      <c r="E384" s="7"/>
      <c r="F384" s="7"/>
      <c r="G384" s="7"/>
      <c r="AK384" s="5"/>
      <c r="AQ384" s="5"/>
    </row>
    <row r="385" spans="2:43" x14ac:dyDescent="0.35">
      <c r="B385" s="5"/>
      <c r="C385" s="7"/>
      <c r="D385" s="5"/>
      <c r="E385" s="7"/>
      <c r="F385" s="7"/>
      <c r="G385" s="7"/>
      <c r="AK385" s="5"/>
      <c r="AQ385" s="5"/>
    </row>
    <row r="386" spans="2:43" x14ac:dyDescent="0.35">
      <c r="B386" s="5"/>
      <c r="C386" s="7"/>
      <c r="D386" s="5"/>
      <c r="E386" s="7"/>
      <c r="F386" s="7"/>
      <c r="G386" s="7"/>
      <c r="AK386" s="5"/>
      <c r="AQ386" s="5"/>
    </row>
    <row r="387" spans="2:43" x14ac:dyDescent="0.35">
      <c r="B387" s="5"/>
      <c r="C387" s="7"/>
      <c r="D387" s="5"/>
      <c r="E387" s="7"/>
      <c r="F387" s="7"/>
      <c r="G387" s="7"/>
      <c r="AK387" s="5"/>
      <c r="AQ387" s="5"/>
    </row>
    <row r="388" spans="2:43" x14ac:dyDescent="0.35">
      <c r="B388" s="5"/>
      <c r="C388" s="7"/>
      <c r="D388" s="5"/>
      <c r="E388" s="7"/>
      <c r="F388" s="7"/>
      <c r="G388" s="7"/>
      <c r="AK388" s="5"/>
      <c r="AQ388" s="5"/>
    </row>
    <row r="389" spans="2:43" x14ac:dyDescent="0.35">
      <c r="B389" s="5"/>
      <c r="C389" s="7"/>
      <c r="D389" s="5"/>
      <c r="E389" s="7"/>
      <c r="F389" s="7"/>
      <c r="G389" s="7"/>
      <c r="AK389" s="5"/>
      <c r="AQ389" s="5"/>
    </row>
    <row r="390" spans="2:43" x14ac:dyDescent="0.35">
      <c r="B390" s="5"/>
      <c r="C390" s="7"/>
      <c r="D390" s="5"/>
      <c r="E390" s="7"/>
      <c r="F390" s="7"/>
      <c r="G390" s="7"/>
      <c r="AK390" s="5"/>
      <c r="AQ390" s="5"/>
    </row>
    <row r="391" spans="2:43" x14ac:dyDescent="0.35">
      <c r="B391" s="5"/>
      <c r="C391" s="7"/>
      <c r="D391" s="5"/>
      <c r="E391" s="7"/>
      <c r="F391" s="7"/>
      <c r="G391" s="7"/>
      <c r="AK391" s="5"/>
      <c r="AQ391" s="5"/>
    </row>
    <row r="392" spans="2:43" x14ac:dyDescent="0.35">
      <c r="B392" s="5"/>
      <c r="C392" s="7"/>
      <c r="D392" s="5"/>
      <c r="E392" s="7"/>
      <c r="F392" s="7"/>
      <c r="G392" s="7"/>
      <c r="AK392" s="5"/>
      <c r="AQ392" s="5"/>
    </row>
    <row r="393" spans="2:43" x14ac:dyDescent="0.35">
      <c r="B393" s="5"/>
      <c r="C393" s="7"/>
      <c r="D393" s="5"/>
      <c r="E393" s="7"/>
      <c r="F393" s="7"/>
      <c r="G393" s="7"/>
      <c r="AK393" s="5"/>
      <c r="AQ393" s="5"/>
    </row>
    <row r="394" spans="2:43" x14ac:dyDescent="0.35">
      <c r="B394" s="5"/>
      <c r="C394" s="7"/>
      <c r="D394" s="5"/>
      <c r="E394" s="7"/>
      <c r="F394" s="7"/>
      <c r="G394" s="7"/>
      <c r="AK394" s="5"/>
      <c r="AQ394" s="5"/>
    </row>
    <row r="395" spans="2:43" x14ac:dyDescent="0.35">
      <c r="B395" s="5"/>
      <c r="C395" s="7"/>
      <c r="D395" s="5"/>
      <c r="E395" s="7"/>
      <c r="F395" s="7"/>
      <c r="G395" s="7"/>
      <c r="AK395" s="5"/>
      <c r="AQ395" s="5"/>
    </row>
    <row r="396" spans="2:43" x14ac:dyDescent="0.35">
      <c r="B396" s="5"/>
      <c r="C396" s="7"/>
      <c r="D396" s="5"/>
      <c r="E396" s="7"/>
      <c r="F396" s="7"/>
      <c r="G396" s="7"/>
      <c r="AK396" s="5"/>
      <c r="AQ396" s="5"/>
    </row>
    <row r="397" spans="2:43" x14ac:dyDescent="0.35">
      <c r="B397" s="5"/>
      <c r="C397" s="7"/>
      <c r="D397" s="5"/>
      <c r="E397" s="7"/>
      <c r="F397" s="7"/>
      <c r="G397" s="7"/>
      <c r="AK397" s="5"/>
      <c r="AQ397" s="5"/>
    </row>
    <row r="398" spans="2:43" x14ac:dyDescent="0.35">
      <c r="B398" s="5"/>
      <c r="C398" s="7"/>
      <c r="D398" s="5"/>
      <c r="E398" s="7"/>
      <c r="F398" s="7"/>
      <c r="G398" s="7"/>
      <c r="AK398" s="5"/>
      <c r="AQ398" s="5"/>
    </row>
    <row r="399" spans="2:43" x14ac:dyDescent="0.35">
      <c r="B399" s="5"/>
      <c r="C399" s="7"/>
      <c r="D399" s="5"/>
      <c r="E399" s="7"/>
      <c r="F399" s="7"/>
      <c r="G399" s="7"/>
      <c r="AK399" s="5"/>
      <c r="AQ399" s="5"/>
    </row>
    <row r="400" spans="2:43" x14ac:dyDescent="0.35">
      <c r="B400" s="5"/>
      <c r="C400" s="7"/>
      <c r="D400" s="5"/>
      <c r="E400" s="7"/>
      <c r="F400" s="7"/>
      <c r="G400" s="7"/>
      <c r="AK400" s="5"/>
      <c r="AQ400" s="5"/>
    </row>
    <row r="401" spans="2:43" x14ac:dyDescent="0.35">
      <c r="B401" s="5"/>
      <c r="C401" s="7"/>
      <c r="D401" s="5"/>
      <c r="E401" s="7"/>
      <c r="F401" s="7"/>
      <c r="G401" s="7"/>
      <c r="AK401" s="5"/>
      <c r="AQ401" s="5"/>
    </row>
    <row r="402" spans="2:43" x14ac:dyDescent="0.35">
      <c r="B402" s="5"/>
      <c r="C402" s="7"/>
      <c r="D402" s="5"/>
      <c r="E402" s="7"/>
      <c r="F402" s="7"/>
      <c r="G402" s="7"/>
      <c r="AK402" s="5"/>
      <c r="AQ402" s="5"/>
    </row>
    <row r="403" spans="2:43" x14ac:dyDescent="0.35">
      <c r="B403" s="5"/>
      <c r="C403" s="7"/>
      <c r="D403" s="5"/>
      <c r="E403" s="7"/>
      <c r="F403" s="7"/>
      <c r="G403" s="7"/>
      <c r="AK403" s="5"/>
      <c r="AQ403" s="5"/>
    </row>
    <row r="404" spans="2:43" x14ac:dyDescent="0.35">
      <c r="B404" s="5"/>
      <c r="C404" s="7"/>
      <c r="D404" s="5"/>
      <c r="E404" s="7"/>
      <c r="F404" s="7"/>
      <c r="G404" s="7"/>
      <c r="AK404" s="5"/>
      <c r="AQ404" s="5"/>
    </row>
    <row r="405" spans="2:43" x14ac:dyDescent="0.35">
      <c r="B405" s="5"/>
      <c r="C405" s="7"/>
      <c r="D405" s="5"/>
      <c r="E405" s="7"/>
      <c r="F405" s="7"/>
      <c r="G405" s="7"/>
      <c r="AK405" s="5"/>
      <c r="AQ405" s="5"/>
    </row>
    <row r="406" spans="2:43" x14ac:dyDescent="0.35">
      <c r="B406" s="5"/>
      <c r="C406" s="7"/>
      <c r="D406" s="5"/>
      <c r="E406" s="7"/>
      <c r="F406" s="7"/>
      <c r="G406" s="7"/>
      <c r="AK406" s="5"/>
      <c r="AQ406" s="5"/>
    </row>
    <row r="407" spans="2:43" x14ac:dyDescent="0.35">
      <c r="B407" s="5"/>
      <c r="C407" s="7"/>
      <c r="D407" s="5"/>
      <c r="E407" s="7"/>
      <c r="F407" s="7"/>
      <c r="G407" s="7"/>
      <c r="AK407" s="5"/>
      <c r="AQ407" s="5"/>
    </row>
    <row r="408" spans="2:43" x14ac:dyDescent="0.35">
      <c r="B408" s="5"/>
      <c r="C408" s="7"/>
      <c r="D408" s="5"/>
      <c r="E408" s="7"/>
      <c r="F408" s="7"/>
      <c r="G408" s="7"/>
      <c r="AK408" s="5"/>
      <c r="AQ408" s="5"/>
    </row>
    <row r="409" spans="2:43" x14ac:dyDescent="0.35">
      <c r="B409" s="5"/>
      <c r="C409" s="7"/>
      <c r="D409" s="5"/>
      <c r="E409" s="7"/>
      <c r="F409" s="7"/>
      <c r="G409" s="7"/>
      <c r="AK409" s="5"/>
      <c r="AQ409" s="5"/>
    </row>
    <row r="410" spans="2:43" x14ac:dyDescent="0.35">
      <c r="B410" s="5"/>
      <c r="C410" s="7"/>
      <c r="D410" s="5"/>
      <c r="E410" s="7"/>
      <c r="F410" s="7"/>
      <c r="G410" s="7"/>
      <c r="AK410" s="5"/>
      <c r="AQ410" s="5"/>
    </row>
    <row r="411" spans="2:43" x14ac:dyDescent="0.35">
      <c r="B411" s="5"/>
      <c r="C411" s="7"/>
      <c r="D411" s="5"/>
      <c r="E411" s="7"/>
      <c r="F411" s="7"/>
      <c r="G411" s="7"/>
      <c r="AK411" s="5"/>
      <c r="AQ411" s="5"/>
    </row>
    <row r="412" spans="2:43" x14ac:dyDescent="0.35">
      <c r="B412" s="5"/>
      <c r="C412" s="7"/>
      <c r="D412" s="5"/>
      <c r="E412" s="7"/>
      <c r="F412" s="7"/>
      <c r="G412" s="7"/>
      <c r="AK412" s="5"/>
      <c r="AQ412" s="5"/>
    </row>
    <row r="413" spans="2:43" x14ac:dyDescent="0.35">
      <c r="B413" s="5"/>
      <c r="C413" s="7"/>
      <c r="D413" s="5"/>
      <c r="E413" s="7"/>
      <c r="F413" s="7"/>
      <c r="G413" s="7"/>
      <c r="AK413" s="5"/>
      <c r="AQ413" s="5"/>
    </row>
    <row r="414" spans="2:43" x14ac:dyDescent="0.35">
      <c r="B414" s="5"/>
      <c r="C414" s="7"/>
      <c r="D414" s="5"/>
      <c r="E414" s="7"/>
      <c r="F414" s="7"/>
      <c r="G414" s="7"/>
      <c r="AK414" s="5"/>
      <c r="AQ414" s="5"/>
    </row>
    <row r="415" spans="2:43" x14ac:dyDescent="0.35">
      <c r="B415" s="5"/>
      <c r="C415" s="7"/>
      <c r="D415" s="5"/>
      <c r="E415" s="7"/>
      <c r="F415" s="7"/>
      <c r="G415" s="7"/>
      <c r="AK415" s="5"/>
      <c r="AQ415" s="5"/>
    </row>
    <row r="416" spans="2:43" x14ac:dyDescent="0.35">
      <c r="B416" s="5"/>
      <c r="C416" s="7"/>
      <c r="D416" s="5"/>
      <c r="E416" s="7"/>
      <c r="F416" s="7"/>
      <c r="G416" s="7"/>
      <c r="AK416" s="5"/>
      <c r="AQ416" s="5"/>
    </row>
    <row r="417" spans="2:43" x14ac:dyDescent="0.35">
      <c r="B417" s="5"/>
      <c r="C417" s="7"/>
      <c r="D417" s="5"/>
      <c r="E417" s="7"/>
      <c r="F417" s="7"/>
      <c r="G417" s="7"/>
      <c r="AK417" s="5"/>
      <c r="AQ417" s="5"/>
    </row>
    <row r="418" spans="2:43" x14ac:dyDescent="0.35">
      <c r="B418" s="5"/>
      <c r="C418" s="7"/>
      <c r="D418" s="5"/>
      <c r="E418" s="7"/>
      <c r="F418" s="7"/>
      <c r="G418" s="7"/>
      <c r="AK418" s="5"/>
      <c r="AQ418" s="5"/>
    </row>
    <row r="419" spans="2:43" x14ac:dyDescent="0.35">
      <c r="B419" s="5"/>
      <c r="C419" s="7"/>
      <c r="D419" s="5"/>
      <c r="E419" s="7"/>
      <c r="F419" s="7"/>
      <c r="G419" s="7"/>
      <c r="AK419" s="5"/>
      <c r="AQ419" s="5"/>
    </row>
    <row r="420" spans="2:43" x14ac:dyDescent="0.35">
      <c r="B420" s="5"/>
      <c r="C420" s="7"/>
      <c r="D420" s="5"/>
      <c r="E420" s="7"/>
      <c r="F420" s="7"/>
      <c r="G420" s="7"/>
      <c r="AK420" s="5"/>
      <c r="AQ420" s="5"/>
    </row>
    <row r="421" spans="2:43" x14ac:dyDescent="0.35">
      <c r="B421" s="5"/>
      <c r="C421" s="7"/>
      <c r="D421" s="5"/>
      <c r="E421" s="7"/>
      <c r="F421" s="7"/>
      <c r="G421" s="7"/>
      <c r="AK421" s="5"/>
      <c r="AQ421" s="5"/>
    </row>
    <row r="422" spans="2:43" x14ac:dyDescent="0.35">
      <c r="B422" s="5"/>
      <c r="C422" s="7"/>
      <c r="D422" s="5"/>
      <c r="E422" s="7"/>
      <c r="F422" s="7"/>
      <c r="G422" s="7"/>
      <c r="AK422" s="5"/>
      <c r="AQ422" s="5"/>
    </row>
    <row r="423" spans="2:43" x14ac:dyDescent="0.35">
      <c r="B423" s="5"/>
      <c r="C423" s="7"/>
      <c r="D423" s="5"/>
      <c r="E423" s="7"/>
      <c r="F423" s="7"/>
      <c r="G423" s="7"/>
      <c r="AK423" s="5"/>
      <c r="AQ423" s="5"/>
    </row>
    <row r="424" spans="2:43" x14ac:dyDescent="0.35">
      <c r="B424" s="5"/>
      <c r="C424" s="7"/>
      <c r="D424" s="5"/>
      <c r="E424" s="7"/>
      <c r="F424" s="7"/>
      <c r="G424" s="7"/>
      <c r="AK424" s="5"/>
      <c r="AQ424" s="5"/>
    </row>
    <row r="425" spans="2:43" x14ac:dyDescent="0.35">
      <c r="B425" s="5"/>
      <c r="C425" s="7"/>
      <c r="D425" s="5"/>
      <c r="E425" s="7"/>
      <c r="F425" s="7"/>
      <c r="G425" s="7"/>
      <c r="AK425" s="5"/>
      <c r="AQ425" s="5"/>
    </row>
    <row r="426" spans="2:43" x14ac:dyDescent="0.35">
      <c r="B426" s="5"/>
      <c r="C426" s="7"/>
      <c r="D426" s="5"/>
      <c r="E426" s="7"/>
      <c r="F426" s="7"/>
      <c r="G426" s="7"/>
      <c r="AK426" s="5"/>
      <c r="AQ426" s="5"/>
    </row>
    <row r="427" spans="2:43" x14ac:dyDescent="0.35">
      <c r="B427" s="5"/>
      <c r="C427" s="7"/>
      <c r="D427" s="5"/>
      <c r="E427" s="7"/>
      <c r="F427" s="7"/>
      <c r="G427" s="7"/>
      <c r="AK427" s="5"/>
      <c r="AQ427" s="5"/>
    </row>
    <row r="428" spans="2:43" x14ac:dyDescent="0.35">
      <c r="B428" s="5"/>
      <c r="C428" s="7"/>
      <c r="D428" s="5"/>
      <c r="E428" s="7"/>
      <c r="F428" s="7"/>
      <c r="G428" s="7"/>
      <c r="AK428" s="5"/>
      <c r="AQ428" s="5"/>
    </row>
    <row r="429" spans="2:43" x14ac:dyDescent="0.35">
      <c r="B429" s="5"/>
      <c r="C429" s="7"/>
      <c r="D429" s="5"/>
      <c r="E429" s="7"/>
      <c r="F429" s="7"/>
      <c r="G429" s="7"/>
      <c r="AK429" s="5"/>
      <c r="AQ429" s="5"/>
    </row>
    <row r="430" spans="2:43" x14ac:dyDescent="0.35">
      <c r="B430" s="5"/>
      <c r="C430" s="7"/>
      <c r="D430" s="5"/>
      <c r="E430" s="7"/>
      <c r="F430" s="7"/>
      <c r="G430" s="7"/>
      <c r="AK430" s="5"/>
      <c r="AQ430" s="5"/>
    </row>
    <row r="431" spans="2:43" x14ac:dyDescent="0.35">
      <c r="B431" s="5"/>
      <c r="C431" s="7"/>
      <c r="D431" s="5"/>
      <c r="E431" s="7"/>
      <c r="F431" s="7"/>
      <c r="G431" s="7"/>
      <c r="AK431" s="5"/>
      <c r="AQ431" s="5"/>
    </row>
    <row r="432" spans="2:43" x14ac:dyDescent="0.35">
      <c r="B432" s="5"/>
      <c r="C432" s="7"/>
      <c r="D432" s="5"/>
      <c r="E432" s="7"/>
      <c r="F432" s="7"/>
      <c r="G432" s="7"/>
      <c r="AK432" s="5"/>
      <c r="AQ432" s="5"/>
    </row>
    <row r="433" spans="2:43" x14ac:dyDescent="0.35">
      <c r="B433" s="5"/>
      <c r="C433" s="7"/>
      <c r="D433" s="5"/>
      <c r="E433" s="7"/>
      <c r="F433" s="7"/>
      <c r="G433" s="7"/>
      <c r="AK433" s="5"/>
      <c r="AQ433" s="5"/>
    </row>
    <row r="434" spans="2:43" x14ac:dyDescent="0.35">
      <c r="B434" s="5"/>
      <c r="C434" s="7"/>
      <c r="D434" s="5"/>
      <c r="E434" s="7"/>
      <c r="F434" s="7"/>
      <c r="G434" s="7"/>
      <c r="AK434" s="5"/>
      <c r="AQ434" s="5"/>
    </row>
    <row r="435" spans="2:43" x14ac:dyDescent="0.35">
      <c r="B435" s="5"/>
      <c r="C435" s="7"/>
      <c r="D435" s="5"/>
      <c r="E435" s="7"/>
      <c r="F435" s="7"/>
      <c r="G435" s="7"/>
      <c r="AK435" s="5"/>
      <c r="AQ435" s="5"/>
    </row>
    <row r="436" spans="2:43" x14ac:dyDescent="0.35">
      <c r="B436" s="5"/>
      <c r="C436" s="7"/>
      <c r="D436" s="5"/>
      <c r="E436" s="7"/>
      <c r="F436" s="7"/>
      <c r="G436" s="7"/>
      <c r="AK436" s="5"/>
      <c r="AQ436" s="5"/>
    </row>
    <row r="437" spans="2:43" x14ac:dyDescent="0.35">
      <c r="B437" s="5"/>
      <c r="C437" s="7"/>
      <c r="D437" s="5"/>
      <c r="E437" s="7"/>
      <c r="F437" s="7"/>
      <c r="G437" s="7"/>
      <c r="AK437" s="5"/>
      <c r="AQ437" s="5"/>
    </row>
    <row r="438" spans="2:43" x14ac:dyDescent="0.35">
      <c r="B438" s="5"/>
      <c r="C438" s="7"/>
      <c r="D438" s="5"/>
      <c r="E438" s="7"/>
      <c r="F438" s="7"/>
      <c r="G438" s="7"/>
      <c r="AK438" s="5"/>
      <c r="AQ438" s="5"/>
    </row>
    <row r="439" spans="2:43" x14ac:dyDescent="0.35">
      <c r="B439" s="5"/>
      <c r="C439" s="7"/>
      <c r="D439" s="5"/>
      <c r="E439" s="7"/>
      <c r="F439" s="7"/>
      <c r="G439" s="7"/>
      <c r="AK439" s="5"/>
      <c r="AQ439" s="5"/>
    </row>
    <row r="440" spans="2:43" x14ac:dyDescent="0.35">
      <c r="B440" s="5"/>
      <c r="C440" s="7"/>
      <c r="D440" s="5"/>
      <c r="E440" s="7"/>
      <c r="F440" s="7"/>
      <c r="G440" s="7"/>
      <c r="AK440" s="5"/>
      <c r="AQ440" s="5"/>
    </row>
    <row r="441" spans="2:43" x14ac:dyDescent="0.35">
      <c r="B441" s="5"/>
      <c r="C441" s="7"/>
      <c r="D441" s="5"/>
      <c r="E441" s="7"/>
      <c r="F441" s="7"/>
      <c r="G441" s="7"/>
      <c r="AK441" s="5"/>
      <c r="AQ441" s="5"/>
    </row>
    <row r="442" spans="2:43" x14ac:dyDescent="0.35">
      <c r="B442" s="5"/>
      <c r="C442" s="7"/>
      <c r="D442" s="5"/>
      <c r="E442" s="7"/>
      <c r="F442" s="7"/>
      <c r="G442" s="7"/>
      <c r="AK442" s="5"/>
      <c r="AQ442" s="5"/>
    </row>
    <row r="443" spans="2:43" x14ac:dyDescent="0.35">
      <c r="B443" s="5"/>
      <c r="C443" s="7"/>
      <c r="D443" s="5"/>
      <c r="E443" s="7"/>
      <c r="F443" s="7"/>
      <c r="G443" s="7"/>
      <c r="AK443" s="5"/>
      <c r="AQ443" s="5"/>
    </row>
    <row r="444" spans="2:43" x14ac:dyDescent="0.35">
      <c r="B444" s="5"/>
      <c r="C444" s="7"/>
      <c r="D444" s="5"/>
      <c r="E444" s="7"/>
      <c r="F444" s="7"/>
      <c r="G444" s="7"/>
      <c r="AK444" s="5"/>
      <c r="AQ444" s="5"/>
    </row>
    <row r="445" spans="2:43" x14ac:dyDescent="0.35">
      <c r="B445" s="5"/>
      <c r="C445" s="7"/>
      <c r="D445" s="5"/>
      <c r="E445" s="7"/>
      <c r="F445" s="7"/>
      <c r="G445" s="7"/>
      <c r="AK445" s="5"/>
      <c r="AQ445" s="5"/>
    </row>
    <row r="446" spans="2:43" x14ac:dyDescent="0.35">
      <c r="B446" s="5"/>
      <c r="C446" s="7"/>
      <c r="D446" s="5"/>
      <c r="E446" s="7"/>
      <c r="F446" s="7"/>
      <c r="G446" s="7"/>
      <c r="AK446" s="5"/>
      <c r="AQ446" s="5"/>
    </row>
    <row r="447" spans="2:43" x14ac:dyDescent="0.35">
      <c r="B447" s="5"/>
      <c r="C447" s="7"/>
      <c r="D447" s="5"/>
      <c r="E447" s="7"/>
      <c r="F447" s="7"/>
      <c r="G447" s="7"/>
      <c r="AK447" s="5"/>
      <c r="AQ447" s="5"/>
    </row>
    <row r="448" spans="2:43" x14ac:dyDescent="0.35">
      <c r="B448" s="5"/>
      <c r="C448" s="7"/>
      <c r="D448" s="5"/>
      <c r="E448" s="7"/>
      <c r="F448" s="7"/>
      <c r="G448" s="7"/>
      <c r="AK448" s="5"/>
      <c r="AQ448" s="5"/>
    </row>
    <row r="449" spans="2:43" x14ac:dyDescent="0.35">
      <c r="B449" s="5"/>
      <c r="C449" s="7"/>
      <c r="D449" s="5"/>
      <c r="E449" s="7"/>
      <c r="F449" s="7"/>
      <c r="G449" s="7"/>
      <c r="AK449" s="5"/>
      <c r="AQ449" s="5"/>
    </row>
    <row r="450" spans="2:43" x14ac:dyDescent="0.35">
      <c r="B450" s="5"/>
      <c r="C450" s="7"/>
      <c r="D450" s="5"/>
      <c r="E450" s="7"/>
      <c r="F450" s="7"/>
      <c r="G450" s="7"/>
      <c r="AK450" s="5"/>
      <c r="AQ450" s="5"/>
    </row>
    <row r="451" spans="2:43" x14ac:dyDescent="0.35">
      <c r="B451" s="5"/>
      <c r="C451" s="7"/>
      <c r="D451" s="5"/>
      <c r="E451" s="7"/>
      <c r="F451" s="7"/>
      <c r="G451" s="7"/>
      <c r="AK451" s="5"/>
      <c r="AQ451" s="5"/>
    </row>
    <row r="452" spans="2:43" x14ac:dyDescent="0.35">
      <c r="B452" s="5"/>
      <c r="C452" s="7"/>
      <c r="D452" s="5"/>
      <c r="E452" s="7"/>
      <c r="F452" s="7"/>
      <c r="G452" s="7"/>
      <c r="AK452" s="5"/>
      <c r="AQ452" s="5"/>
    </row>
    <row r="453" spans="2:43" x14ac:dyDescent="0.35">
      <c r="B453" s="5"/>
      <c r="C453" s="7"/>
      <c r="D453" s="5"/>
      <c r="E453" s="7"/>
      <c r="F453" s="7"/>
      <c r="G453" s="7"/>
      <c r="AK453" s="5"/>
      <c r="AQ453" s="5"/>
    </row>
    <row r="454" spans="2:43" x14ac:dyDescent="0.35">
      <c r="B454" s="5"/>
      <c r="C454" s="7"/>
      <c r="D454" s="5"/>
      <c r="E454" s="7"/>
      <c r="F454" s="7"/>
      <c r="G454" s="7"/>
      <c r="AK454" s="5"/>
      <c r="AQ454" s="5"/>
    </row>
    <row r="455" spans="2:43" x14ac:dyDescent="0.35">
      <c r="B455" s="5"/>
      <c r="C455" s="7"/>
      <c r="D455" s="5"/>
      <c r="E455" s="7"/>
      <c r="F455" s="7"/>
      <c r="G455" s="7"/>
      <c r="AK455" s="5"/>
      <c r="AQ455" s="5"/>
    </row>
    <row r="456" spans="2:43" x14ac:dyDescent="0.35">
      <c r="B456" s="5"/>
      <c r="C456" s="7"/>
      <c r="D456" s="5"/>
      <c r="E456" s="7"/>
      <c r="F456" s="7"/>
      <c r="G456" s="7"/>
      <c r="AK456" s="5"/>
      <c r="AQ456" s="5"/>
    </row>
    <row r="457" spans="2:43" x14ac:dyDescent="0.35">
      <c r="B457" s="5"/>
      <c r="C457" s="7"/>
      <c r="D457" s="5"/>
      <c r="E457" s="7"/>
      <c r="F457" s="7"/>
      <c r="G457" s="7"/>
      <c r="AK457" s="5"/>
      <c r="AQ457" s="5"/>
    </row>
    <row r="458" spans="2:43" x14ac:dyDescent="0.35">
      <c r="B458" s="5"/>
      <c r="C458" s="7"/>
      <c r="D458" s="5"/>
      <c r="E458" s="7"/>
      <c r="F458" s="7"/>
      <c r="G458" s="7"/>
      <c r="AK458" s="5"/>
      <c r="AQ458" s="5"/>
    </row>
    <row r="459" spans="2:43" x14ac:dyDescent="0.35">
      <c r="B459" s="5"/>
      <c r="C459" s="7"/>
      <c r="D459" s="5"/>
      <c r="E459" s="7"/>
      <c r="F459" s="7"/>
      <c r="G459" s="7"/>
      <c r="AK459" s="5"/>
      <c r="AQ459" s="5"/>
    </row>
    <row r="460" spans="2:43" x14ac:dyDescent="0.35">
      <c r="B460" s="5"/>
      <c r="C460" s="7"/>
      <c r="D460" s="5"/>
      <c r="E460" s="7"/>
      <c r="F460" s="7"/>
      <c r="G460" s="7"/>
      <c r="AK460" s="5"/>
      <c r="AQ460" s="5"/>
    </row>
    <row r="461" spans="2:43" x14ac:dyDescent="0.35">
      <c r="B461" s="5"/>
      <c r="C461" s="7"/>
      <c r="D461" s="5"/>
      <c r="E461" s="7"/>
      <c r="F461" s="7"/>
      <c r="G461" s="7"/>
      <c r="AK461" s="5"/>
      <c r="AQ461" s="5"/>
    </row>
    <row r="462" spans="2:43" x14ac:dyDescent="0.35">
      <c r="B462" s="5"/>
      <c r="C462" s="7"/>
      <c r="D462" s="5"/>
      <c r="E462" s="7"/>
      <c r="F462" s="7"/>
      <c r="G462" s="7"/>
      <c r="AK462" s="5"/>
      <c r="AQ462" s="5"/>
    </row>
    <row r="463" spans="2:43" x14ac:dyDescent="0.35">
      <c r="B463" s="5"/>
      <c r="C463" s="7"/>
      <c r="D463" s="5"/>
      <c r="E463" s="7"/>
      <c r="F463" s="7"/>
      <c r="G463" s="7"/>
      <c r="AK463" s="5"/>
      <c r="AQ463" s="5"/>
    </row>
    <row r="464" spans="2:43" x14ac:dyDescent="0.35">
      <c r="B464" s="5"/>
      <c r="C464" s="7"/>
      <c r="D464" s="5"/>
      <c r="E464" s="7"/>
      <c r="F464" s="7"/>
      <c r="G464" s="7"/>
      <c r="AK464" s="5"/>
      <c r="AQ464" s="5"/>
    </row>
    <row r="465" spans="2:43" x14ac:dyDescent="0.35">
      <c r="B465" s="5"/>
      <c r="C465" s="7"/>
      <c r="D465" s="5"/>
      <c r="E465" s="7"/>
      <c r="F465" s="7"/>
      <c r="G465" s="7"/>
      <c r="AK465" s="5"/>
      <c r="AQ465" s="5"/>
    </row>
    <row r="466" spans="2:43" x14ac:dyDescent="0.35">
      <c r="B466" s="5"/>
      <c r="C466" s="7"/>
      <c r="D466" s="5"/>
      <c r="E466" s="7"/>
      <c r="F466" s="7"/>
      <c r="G466" s="7"/>
      <c r="AK466" s="5"/>
      <c r="AQ466" s="5"/>
    </row>
    <row r="467" spans="2:43" x14ac:dyDescent="0.35">
      <c r="B467" s="5"/>
      <c r="C467" s="7"/>
      <c r="D467" s="5"/>
      <c r="E467" s="7"/>
      <c r="F467" s="7"/>
      <c r="G467" s="7"/>
      <c r="AK467" s="5"/>
      <c r="AQ467" s="5"/>
    </row>
    <row r="468" spans="2:43" x14ac:dyDescent="0.35">
      <c r="B468" s="5"/>
      <c r="C468" s="7"/>
      <c r="D468" s="5"/>
      <c r="E468" s="7"/>
      <c r="F468" s="7"/>
      <c r="G468" s="7"/>
      <c r="AK468" s="5"/>
      <c r="AQ468" s="5"/>
    </row>
    <row r="469" spans="2:43" x14ac:dyDescent="0.35">
      <c r="B469" s="5"/>
      <c r="C469" s="7"/>
      <c r="D469" s="5"/>
      <c r="E469" s="7"/>
      <c r="F469" s="7"/>
      <c r="G469" s="7"/>
      <c r="AK469" s="5"/>
      <c r="AQ469" s="5"/>
    </row>
    <row r="470" spans="2:43" x14ac:dyDescent="0.35">
      <c r="B470" s="5"/>
      <c r="C470" s="7"/>
      <c r="D470" s="5"/>
      <c r="E470" s="7"/>
      <c r="F470" s="7"/>
      <c r="G470" s="7"/>
      <c r="AK470" s="5"/>
      <c r="AQ470" s="5"/>
    </row>
    <row r="471" spans="2:43" x14ac:dyDescent="0.35">
      <c r="B471" s="5"/>
      <c r="C471" s="7"/>
      <c r="D471" s="5"/>
      <c r="E471" s="7"/>
      <c r="F471" s="7"/>
      <c r="G471" s="7"/>
      <c r="AK471" s="5"/>
      <c r="AQ471" s="5"/>
    </row>
    <row r="472" spans="2:43" x14ac:dyDescent="0.35">
      <c r="B472" s="5"/>
      <c r="C472" s="7"/>
      <c r="D472" s="5"/>
      <c r="E472" s="7"/>
      <c r="F472" s="7"/>
      <c r="G472" s="7"/>
      <c r="AK472" s="5"/>
      <c r="AQ472" s="5"/>
    </row>
    <row r="473" spans="2:43" x14ac:dyDescent="0.35">
      <c r="B473" s="5"/>
      <c r="C473" s="7"/>
      <c r="D473" s="5"/>
      <c r="E473" s="7"/>
      <c r="F473" s="7"/>
      <c r="G473" s="7"/>
      <c r="AK473" s="5"/>
      <c r="AQ473" s="5"/>
    </row>
    <row r="474" spans="2:43" x14ac:dyDescent="0.35">
      <c r="B474" s="5"/>
      <c r="C474" s="7"/>
      <c r="D474" s="5"/>
      <c r="E474" s="7"/>
      <c r="F474" s="7"/>
      <c r="G474" s="7"/>
      <c r="AK474" s="5"/>
      <c r="AQ474" s="5"/>
    </row>
    <row r="475" spans="2:43" x14ac:dyDescent="0.35">
      <c r="B475" s="5"/>
      <c r="C475" s="7"/>
      <c r="D475" s="5"/>
      <c r="E475" s="7"/>
      <c r="F475" s="7"/>
      <c r="G475" s="7"/>
      <c r="AK475" s="5"/>
      <c r="AQ475" s="5"/>
    </row>
    <row r="476" spans="2:43" x14ac:dyDescent="0.35">
      <c r="B476" s="5"/>
      <c r="C476" s="7"/>
      <c r="D476" s="5"/>
      <c r="E476" s="7"/>
      <c r="F476" s="7"/>
      <c r="G476" s="7"/>
      <c r="AK476" s="5"/>
      <c r="AQ476" s="5"/>
    </row>
    <row r="477" spans="2:43" x14ac:dyDescent="0.35">
      <c r="B477" s="5"/>
      <c r="C477" s="7"/>
      <c r="D477" s="5"/>
      <c r="E477" s="7"/>
      <c r="F477" s="7"/>
      <c r="G477" s="7"/>
      <c r="AK477" s="5"/>
      <c r="AQ477" s="5"/>
    </row>
    <row r="478" spans="2:43" x14ac:dyDescent="0.35">
      <c r="B478" s="5"/>
      <c r="C478" s="7"/>
      <c r="D478" s="5"/>
      <c r="E478" s="7"/>
      <c r="F478" s="7"/>
      <c r="G478" s="7"/>
      <c r="AK478" s="5"/>
      <c r="AQ478" s="5"/>
    </row>
    <row r="479" spans="2:43" x14ac:dyDescent="0.35">
      <c r="B479" s="5"/>
      <c r="C479" s="7"/>
      <c r="D479" s="5"/>
      <c r="E479" s="7"/>
      <c r="F479" s="7"/>
      <c r="G479" s="7"/>
      <c r="AK479" s="5"/>
      <c r="AQ479" s="5"/>
    </row>
    <row r="480" spans="2:43" x14ac:dyDescent="0.35">
      <c r="B480" s="5"/>
      <c r="C480" s="7"/>
      <c r="D480" s="5"/>
      <c r="E480" s="7"/>
      <c r="F480" s="7"/>
      <c r="G480" s="7"/>
      <c r="AK480" s="5"/>
      <c r="AQ480" s="5"/>
    </row>
    <row r="481" spans="2:43" x14ac:dyDescent="0.35">
      <c r="B481" s="5"/>
      <c r="C481" s="7"/>
      <c r="D481" s="5"/>
      <c r="E481" s="7"/>
      <c r="F481" s="7"/>
      <c r="G481" s="7"/>
      <c r="AK481" s="5"/>
      <c r="AQ481" s="5"/>
    </row>
    <row r="482" spans="2:43" x14ac:dyDescent="0.35">
      <c r="B482" s="5"/>
      <c r="C482" s="7"/>
      <c r="D482" s="5"/>
      <c r="E482" s="7"/>
      <c r="F482" s="7"/>
      <c r="G482" s="7"/>
      <c r="AK482" s="5"/>
      <c r="AQ482" s="5"/>
    </row>
    <row r="483" spans="2:43" x14ac:dyDescent="0.35">
      <c r="B483" s="5"/>
      <c r="C483" s="7"/>
      <c r="D483" s="5"/>
      <c r="E483" s="7"/>
      <c r="F483" s="7"/>
      <c r="G483" s="7"/>
      <c r="AK483" s="5"/>
      <c r="AQ483" s="5"/>
    </row>
    <row r="484" spans="2:43" x14ac:dyDescent="0.35">
      <c r="B484" s="5"/>
      <c r="C484" s="7"/>
      <c r="D484" s="5"/>
      <c r="E484" s="7"/>
      <c r="F484" s="7"/>
      <c r="G484" s="7"/>
      <c r="AK484" s="5"/>
      <c r="AQ484" s="5"/>
    </row>
    <row r="485" spans="2:43" x14ac:dyDescent="0.35">
      <c r="B485" s="5"/>
      <c r="C485" s="7"/>
      <c r="D485" s="5"/>
      <c r="E485" s="7"/>
      <c r="F485" s="7"/>
      <c r="G485" s="7"/>
      <c r="AK485" s="5"/>
      <c r="AQ485" s="5"/>
    </row>
    <row r="486" spans="2:43" x14ac:dyDescent="0.35">
      <c r="B486" s="5"/>
      <c r="C486" s="7"/>
      <c r="D486" s="5"/>
      <c r="E486" s="7"/>
      <c r="F486" s="7"/>
      <c r="G486" s="7"/>
      <c r="AK486" s="5"/>
      <c r="AQ486" s="5"/>
    </row>
    <row r="487" spans="2:43" x14ac:dyDescent="0.35">
      <c r="B487" s="5"/>
      <c r="C487" s="7"/>
      <c r="D487" s="5"/>
      <c r="E487" s="7"/>
      <c r="F487" s="7"/>
      <c r="G487" s="7"/>
      <c r="AK487" s="5"/>
      <c r="AQ487" s="5"/>
    </row>
    <row r="488" spans="2:43" x14ac:dyDescent="0.35">
      <c r="B488" s="5"/>
      <c r="C488" s="7"/>
      <c r="D488" s="5"/>
      <c r="E488" s="7"/>
      <c r="F488" s="7"/>
      <c r="G488" s="7"/>
      <c r="AK488" s="5"/>
      <c r="AQ488" s="5"/>
    </row>
    <row r="489" spans="2:43" x14ac:dyDescent="0.35">
      <c r="B489" s="5"/>
      <c r="C489" s="7"/>
      <c r="D489" s="5"/>
      <c r="E489" s="7"/>
      <c r="F489" s="7"/>
      <c r="G489" s="7"/>
      <c r="AK489" s="5"/>
      <c r="AQ489" s="5"/>
    </row>
    <row r="490" spans="2:43" x14ac:dyDescent="0.35">
      <c r="B490" s="5"/>
      <c r="C490" s="7"/>
      <c r="D490" s="5"/>
      <c r="E490" s="7"/>
      <c r="F490" s="7"/>
      <c r="G490" s="7"/>
      <c r="AK490" s="5"/>
      <c r="AQ490" s="5"/>
    </row>
    <row r="491" spans="2:43" x14ac:dyDescent="0.35">
      <c r="B491" s="5"/>
      <c r="C491" s="7"/>
      <c r="D491" s="5"/>
      <c r="E491" s="7"/>
      <c r="F491" s="7"/>
      <c r="G491" s="7"/>
      <c r="AK491" s="5"/>
      <c r="AQ491" s="5"/>
    </row>
    <row r="492" spans="2:43" x14ac:dyDescent="0.35">
      <c r="B492" s="5"/>
      <c r="C492" s="7"/>
      <c r="D492" s="5"/>
      <c r="E492" s="7"/>
      <c r="F492" s="7"/>
      <c r="G492" s="7"/>
      <c r="AK492" s="5"/>
      <c r="AQ492" s="5"/>
    </row>
    <row r="493" spans="2:43" x14ac:dyDescent="0.35">
      <c r="B493" s="5"/>
      <c r="C493" s="7"/>
      <c r="D493" s="5"/>
      <c r="E493" s="7"/>
      <c r="F493" s="7"/>
      <c r="G493" s="7"/>
      <c r="AK493" s="5"/>
      <c r="AQ493" s="5"/>
    </row>
    <row r="494" spans="2:43" x14ac:dyDescent="0.35">
      <c r="B494" s="5"/>
      <c r="C494" s="7"/>
      <c r="D494" s="5"/>
      <c r="E494" s="7"/>
      <c r="F494" s="7"/>
      <c r="G494" s="7"/>
      <c r="AK494" s="5"/>
      <c r="AQ494" s="5"/>
    </row>
    <row r="495" spans="2:43" x14ac:dyDescent="0.35">
      <c r="B495" s="5"/>
      <c r="C495" s="7"/>
      <c r="D495" s="5"/>
      <c r="E495" s="7"/>
      <c r="F495" s="7"/>
      <c r="G495" s="7"/>
      <c r="AK495" s="5"/>
      <c r="AQ495" s="5"/>
    </row>
    <row r="496" spans="2:43" x14ac:dyDescent="0.35">
      <c r="B496" s="5"/>
      <c r="C496" s="7"/>
      <c r="D496" s="5"/>
      <c r="E496" s="7"/>
      <c r="F496" s="7"/>
      <c r="G496" s="7"/>
      <c r="AK496" s="5"/>
      <c r="AQ496" s="5"/>
    </row>
    <row r="497" spans="2:43" x14ac:dyDescent="0.35">
      <c r="B497" s="5"/>
      <c r="C497" s="7"/>
      <c r="D497" s="5"/>
      <c r="E497" s="7"/>
      <c r="F497" s="7"/>
      <c r="G497" s="7"/>
      <c r="AK497" s="5"/>
      <c r="AQ497" s="5"/>
    </row>
    <row r="498" spans="2:43" x14ac:dyDescent="0.35">
      <c r="B498" s="5"/>
      <c r="C498" s="7"/>
      <c r="D498" s="5"/>
      <c r="E498" s="7"/>
      <c r="F498" s="7"/>
      <c r="G498" s="7"/>
      <c r="AK498" s="5"/>
      <c r="AQ498" s="5"/>
    </row>
    <row r="499" spans="2:43" x14ac:dyDescent="0.35">
      <c r="B499" s="5"/>
      <c r="C499" s="7"/>
      <c r="D499" s="5"/>
      <c r="E499" s="7"/>
      <c r="F499" s="7"/>
      <c r="G499" s="7"/>
      <c r="AK499" s="5"/>
      <c r="AQ499" s="5"/>
    </row>
    <row r="500" spans="2:43" x14ac:dyDescent="0.35">
      <c r="B500" s="5"/>
      <c r="C500" s="7"/>
      <c r="D500" s="5"/>
      <c r="E500" s="7"/>
      <c r="F500" s="7"/>
      <c r="G500" s="7"/>
      <c r="AK500" s="5"/>
      <c r="AQ500" s="5"/>
    </row>
    <row r="501" spans="2:43" x14ac:dyDescent="0.35">
      <c r="B501" s="5"/>
      <c r="C501" s="7"/>
      <c r="D501" s="5"/>
      <c r="E501" s="7"/>
      <c r="F501" s="7"/>
      <c r="G501" s="7"/>
      <c r="AK501" s="5"/>
      <c r="AQ501" s="5"/>
    </row>
    <row r="502" spans="2:43" x14ac:dyDescent="0.35">
      <c r="B502" s="5"/>
      <c r="C502" s="7"/>
      <c r="D502" s="5"/>
      <c r="E502" s="7"/>
      <c r="F502" s="7"/>
      <c r="G502" s="7"/>
      <c r="AK502" s="5"/>
      <c r="AQ502" s="5"/>
    </row>
    <row r="503" spans="2:43" x14ac:dyDescent="0.35">
      <c r="B503" s="5"/>
      <c r="C503" s="7"/>
      <c r="D503" s="5"/>
      <c r="E503" s="7"/>
      <c r="F503" s="7"/>
      <c r="G503" s="7"/>
      <c r="AK503" s="5"/>
      <c r="AQ503" s="5"/>
    </row>
    <row r="504" spans="2:43" x14ac:dyDescent="0.35">
      <c r="B504" s="5"/>
      <c r="C504" s="7"/>
      <c r="D504" s="5"/>
      <c r="E504" s="7"/>
      <c r="F504" s="7"/>
      <c r="G504" s="7"/>
      <c r="AK504" s="5"/>
      <c r="AQ504" s="5"/>
    </row>
    <row r="505" spans="2:43" x14ac:dyDescent="0.35">
      <c r="B505" s="5"/>
      <c r="C505" s="7"/>
      <c r="D505" s="5"/>
      <c r="E505" s="7"/>
      <c r="F505" s="7"/>
      <c r="G505" s="7"/>
      <c r="AK505" s="5"/>
      <c r="AQ505" s="5"/>
    </row>
    <row r="506" spans="2:43" x14ac:dyDescent="0.35">
      <c r="B506" s="5"/>
      <c r="C506" s="7"/>
      <c r="D506" s="5"/>
      <c r="E506" s="7"/>
      <c r="F506" s="7"/>
      <c r="G506" s="7"/>
      <c r="AK506" s="5"/>
      <c r="AQ506" s="5"/>
    </row>
    <row r="507" spans="2:43" x14ac:dyDescent="0.35">
      <c r="B507" s="5"/>
      <c r="C507" s="7"/>
      <c r="D507" s="5"/>
      <c r="E507" s="7"/>
      <c r="F507" s="7"/>
      <c r="G507" s="7"/>
      <c r="AK507" s="5"/>
      <c r="AQ507" s="5"/>
    </row>
    <row r="508" spans="2:43" x14ac:dyDescent="0.35">
      <c r="B508" s="5"/>
      <c r="C508" s="7"/>
      <c r="D508" s="5"/>
      <c r="E508" s="7"/>
      <c r="F508" s="7"/>
      <c r="G508" s="7"/>
      <c r="AK508" s="5"/>
      <c r="AQ508" s="5"/>
    </row>
    <row r="509" spans="2:43" x14ac:dyDescent="0.35">
      <c r="B509" s="5"/>
      <c r="C509" s="7"/>
      <c r="D509" s="5"/>
      <c r="E509" s="7"/>
      <c r="F509" s="7"/>
      <c r="G509" s="7"/>
      <c r="AK509" s="5"/>
      <c r="AQ509" s="5"/>
    </row>
    <row r="510" spans="2:43" x14ac:dyDescent="0.35">
      <c r="B510" s="5"/>
      <c r="C510" s="7"/>
      <c r="D510" s="5"/>
      <c r="E510" s="7"/>
      <c r="F510" s="7"/>
      <c r="G510" s="7"/>
      <c r="AK510" s="5"/>
      <c r="AQ510" s="5"/>
    </row>
    <row r="511" spans="2:43" x14ac:dyDescent="0.35">
      <c r="B511" s="5"/>
      <c r="C511" s="7"/>
      <c r="D511" s="5"/>
      <c r="E511" s="7"/>
      <c r="F511" s="7"/>
      <c r="G511" s="7"/>
      <c r="AK511" s="5"/>
      <c r="AQ511" s="5"/>
    </row>
    <row r="512" spans="2:43" x14ac:dyDescent="0.35">
      <c r="B512" s="5"/>
      <c r="C512" s="7"/>
      <c r="D512" s="5"/>
      <c r="E512" s="7"/>
      <c r="F512" s="7"/>
      <c r="G512" s="7"/>
      <c r="AK512" s="5"/>
      <c r="AQ512" s="5"/>
    </row>
    <row r="513" spans="2:43" x14ac:dyDescent="0.35">
      <c r="B513" s="5"/>
      <c r="C513" s="7"/>
      <c r="D513" s="5"/>
      <c r="E513" s="7"/>
      <c r="F513" s="7"/>
      <c r="G513" s="7"/>
      <c r="AK513" s="5"/>
      <c r="AQ513" s="5"/>
    </row>
    <row r="514" spans="2:43" x14ac:dyDescent="0.35">
      <c r="B514" s="5"/>
      <c r="C514" s="7"/>
      <c r="D514" s="5"/>
      <c r="E514" s="7"/>
      <c r="F514" s="7"/>
      <c r="G514" s="7"/>
      <c r="AK514" s="5"/>
      <c r="AQ514" s="5"/>
    </row>
    <row r="515" spans="2:43" x14ac:dyDescent="0.35">
      <c r="B515" s="5"/>
      <c r="C515" s="7"/>
      <c r="D515" s="5"/>
      <c r="E515" s="7"/>
      <c r="F515" s="7"/>
      <c r="G515" s="7"/>
      <c r="AK515" s="5"/>
      <c r="AQ515" s="5"/>
    </row>
    <row r="516" spans="2:43" x14ac:dyDescent="0.35">
      <c r="B516" s="5"/>
      <c r="C516" s="7"/>
      <c r="D516" s="5"/>
      <c r="E516" s="7"/>
      <c r="F516" s="7"/>
      <c r="G516" s="7"/>
      <c r="AK516" s="5"/>
      <c r="AQ516" s="5"/>
    </row>
    <row r="517" spans="2:43" x14ac:dyDescent="0.35">
      <c r="B517" s="5"/>
      <c r="C517" s="7"/>
      <c r="D517" s="5"/>
      <c r="E517" s="7"/>
      <c r="F517" s="7"/>
      <c r="G517" s="7"/>
      <c r="AK517" s="5"/>
      <c r="AQ517" s="5"/>
    </row>
    <row r="518" spans="2:43" x14ac:dyDescent="0.35">
      <c r="B518" s="5"/>
      <c r="C518" s="7"/>
      <c r="D518" s="5"/>
      <c r="E518" s="7"/>
      <c r="F518" s="7"/>
      <c r="G518" s="7"/>
      <c r="AK518" s="5"/>
      <c r="AQ518" s="5"/>
    </row>
    <row r="519" spans="2:43" x14ac:dyDescent="0.35">
      <c r="B519" s="5"/>
      <c r="C519" s="7"/>
      <c r="D519" s="5"/>
      <c r="E519" s="7"/>
      <c r="F519" s="7"/>
      <c r="G519" s="7"/>
      <c r="AK519" s="5"/>
      <c r="AQ519" s="5"/>
    </row>
    <row r="520" spans="2:43" x14ac:dyDescent="0.35">
      <c r="B520" s="5"/>
      <c r="C520" s="7"/>
      <c r="D520" s="5"/>
      <c r="E520" s="7"/>
      <c r="F520" s="7"/>
      <c r="G520" s="7"/>
      <c r="AK520" s="5"/>
      <c r="AQ520" s="5"/>
    </row>
    <row r="521" spans="2:43" x14ac:dyDescent="0.35">
      <c r="B521" s="5"/>
      <c r="C521" s="7"/>
      <c r="D521" s="5"/>
      <c r="E521" s="7"/>
      <c r="F521" s="7"/>
      <c r="G521" s="7"/>
      <c r="AK521" s="5"/>
      <c r="AQ521" s="5"/>
    </row>
    <row r="522" spans="2:43" x14ac:dyDescent="0.35">
      <c r="B522" s="5"/>
      <c r="C522" s="7"/>
      <c r="D522" s="5"/>
      <c r="E522" s="7"/>
      <c r="F522" s="7"/>
      <c r="G522" s="7"/>
      <c r="AK522" s="5"/>
      <c r="AQ522" s="5"/>
    </row>
    <row r="523" spans="2:43" x14ac:dyDescent="0.35">
      <c r="B523" s="5"/>
      <c r="C523" s="7"/>
      <c r="D523" s="5"/>
      <c r="E523" s="7"/>
      <c r="F523" s="7"/>
      <c r="G523" s="7"/>
      <c r="AK523" s="5"/>
      <c r="AQ523" s="5"/>
    </row>
    <row r="524" spans="2:43" x14ac:dyDescent="0.35">
      <c r="B524" s="5"/>
      <c r="C524" s="7"/>
      <c r="D524" s="5"/>
      <c r="E524" s="7"/>
      <c r="F524" s="7"/>
      <c r="G524" s="7"/>
      <c r="AK524" s="5"/>
      <c r="AQ524" s="5"/>
    </row>
    <row r="525" spans="2:43" x14ac:dyDescent="0.35">
      <c r="B525" s="5"/>
      <c r="C525" s="7"/>
      <c r="D525" s="5"/>
      <c r="E525" s="7"/>
      <c r="F525" s="7"/>
      <c r="G525" s="7"/>
      <c r="AK525" s="5"/>
      <c r="AQ525" s="5"/>
    </row>
    <row r="526" spans="2:43" x14ac:dyDescent="0.35">
      <c r="B526" s="5"/>
      <c r="C526" s="7"/>
      <c r="D526" s="5"/>
      <c r="E526" s="7"/>
      <c r="F526" s="7"/>
      <c r="G526" s="7"/>
      <c r="AK526" s="5"/>
      <c r="AQ526" s="5"/>
    </row>
    <row r="527" spans="2:43" x14ac:dyDescent="0.35">
      <c r="B527" s="5"/>
      <c r="C527" s="7"/>
      <c r="D527" s="5"/>
      <c r="E527" s="7"/>
      <c r="F527" s="7"/>
      <c r="G527" s="7"/>
      <c r="AK527" s="5"/>
      <c r="AQ527" s="5"/>
    </row>
    <row r="528" spans="2:43" x14ac:dyDescent="0.35">
      <c r="B528" s="5"/>
      <c r="C528" s="7"/>
      <c r="D528" s="5"/>
      <c r="E528" s="7"/>
      <c r="F528" s="7"/>
      <c r="G528" s="7"/>
      <c r="AK528" s="5"/>
      <c r="AQ528" s="5"/>
    </row>
    <row r="529" spans="2:43" x14ac:dyDescent="0.35">
      <c r="B529" s="5"/>
      <c r="C529" s="7"/>
      <c r="D529" s="5"/>
      <c r="E529" s="7"/>
      <c r="F529" s="7"/>
      <c r="G529" s="7"/>
      <c r="AK529" s="5"/>
      <c r="AQ529" s="5"/>
    </row>
    <row r="530" spans="2:43" x14ac:dyDescent="0.35">
      <c r="B530" s="5"/>
      <c r="C530" s="7"/>
      <c r="D530" s="5"/>
      <c r="E530" s="7"/>
      <c r="F530" s="7"/>
      <c r="G530" s="7"/>
      <c r="AK530" s="5"/>
      <c r="AQ530" s="5"/>
    </row>
    <row r="531" spans="2:43" x14ac:dyDescent="0.35">
      <c r="B531" s="5"/>
      <c r="C531" s="7"/>
      <c r="D531" s="5"/>
      <c r="E531" s="7"/>
      <c r="F531" s="7"/>
      <c r="G531" s="7"/>
      <c r="AK531" s="5"/>
      <c r="AQ531" s="5"/>
    </row>
    <row r="532" spans="2:43" x14ac:dyDescent="0.35">
      <c r="B532" s="5"/>
      <c r="C532" s="7"/>
      <c r="D532" s="5"/>
      <c r="E532" s="7"/>
      <c r="F532" s="7"/>
      <c r="G532" s="7"/>
      <c r="AK532" s="5"/>
      <c r="AQ532" s="5"/>
    </row>
    <row r="533" spans="2:43" x14ac:dyDescent="0.35">
      <c r="B533" s="5"/>
      <c r="C533" s="7"/>
      <c r="D533" s="5"/>
      <c r="E533" s="7"/>
      <c r="F533" s="7"/>
      <c r="G533" s="7"/>
      <c r="AK533" s="5"/>
      <c r="AQ533" s="5"/>
    </row>
    <row r="534" spans="2:43" x14ac:dyDescent="0.35">
      <c r="B534" s="5"/>
      <c r="C534" s="7"/>
      <c r="D534" s="5"/>
      <c r="E534" s="7"/>
      <c r="F534" s="7"/>
      <c r="G534" s="7"/>
      <c r="AK534" s="5"/>
      <c r="AQ534" s="5"/>
    </row>
    <row r="535" spans="2:43" x14ac:dyDescent="0.35">
      <c r="B535" s="5"/>
      <c r="C535" s="7"/>
      <c r="D535" s="5"/>
      <c r="E535" s="7"/>
      <c r="F535" s="7"/>
      <c r="G535" s="7"/>
      <c r="AK535" s="5"/>
      <c r="AQ535" s="5"/>
    </row>
    <row r="536" spans="2:43" x14ac:dyDescent="0.35">
      <c r="B536" s="5"/>
      <c r="C536" s="7"/>
      <c r="D536" s="5"/>
      <c r="E536" s="7"/>
      <c r="F536" s="7"/>
      <c r="G536" s="7"/>
      <c r="AK536" s="5"/>
      <c r="AQ536" s="5"/>
    </row>
    <row r="537" spans="2:43" x14ac:dyDescent="0.35">
      <c r="B537" s="5"/>
      <c r="C537" s="7"/>
      <c r="D537" s="5"/>
      <c r="E537" s="7"/>
      <c r="F537" s="7"/>
      <c r="G537" s="7"/>
      <c r="AK537" s="5"/>
      <c r="AQ537" s="5"/>
    </row>
    <row r="538" spans="2:43" x14ac:dyDescent="0.35">
      <c r="B538" s="5"/>
      <c r="C538" s="7"/>
      <c r="D538" s="5"/>
      <c r="E538" s="7"/>
      <c r="F538" s="7"/>
      <c r="G538" s="7"/>
      <c r="AK538" s="5"/>
      <c r="AQ538" s="5"/>
    </row>
    <row r="539" spans="2:43" x14ac:dyDescent="0.35">
      <c r="B539" s="5"/>
      <c r="C539" s="7"/>
      <c r="D539" s="5"/>
      <c r="E539" s="7"/>
      <c r="F539" s="7"/>
      <c r="G539" s="7"/>
      <c r="AK539" s="5"/>
      <c r="AQ539" s="5"/>
    </row>
    <row r="540" spans="2:43" x14ac:dyDescent="0.35">
      <c r="B540" s="5"/>
      <c r="C540" s="7"/>
      <c r="D540" s="5"/>
      <c r="E540" s="7"/>
      <c r="F540" s="7"/>
      <c r="G540" s="7"/>
      <c r="AK540" s="5"/>
      <c r="AQ540" s="5"/>
    </row>
    <row r="541" spans="2:43" x14ac:dyDescent="0.35">
      <c r="B541" s="5"/>
      <c r="C541" s="7"/>
      <c r="D541" s="5"/>
      <c r="E541" s="7"/>
      <c r="F541" s="7"/>
      <c r="G541" s="7"/>
      <c r="AK541" s="5"/>
      <c r="AQ541" s="5"/>
    </row>
    <row r="542" spans="2:43" x14ac:dyDescent="0.35">
      <c r="B542" s="5"/>
      <c r="C542" s="7"/>
      <c r="D542" s="5"/>
      <c r="E542" s="7"/>
      <c r="F542" s="7"/>
      <c r="G542" s="7"/>
      <c r="AK542" s="5"/>
      <c r="AQ542" s="5"/>
    </row>
    <row r="543" spans="2:43" x14ac:dyDescent="0.35">
      <c r="B543" s="5"/>
      <c r="C543" s="7"/>
      <c r="D543" s="5"/>
      <c r="E543" s="7"/>
      <c r="F543" s="7"/>
      <c r="G543" s="7"/>
      <c r="AK543" s="5"/>
      <c r="AQ543" s="5"/>
    </row>
    <row r="544" spans="2:43" x14ac:dyDescent="0.35">
      <c r="B544" s="5"/>
      <c r="C544" s="7"/>
      <c r="D544" s="5"/>
      <c r="E544" s="7"/>
      <c r="F544" s="7"/>
      <c r="G544" s="7"/>
      <c r="AK544" s="5"/>
      <c r="AQ544" s="5"/>
    </row>
    <row r="545" spans="2:43" x14ac:dyDescent="0.35">
      <c r="B545" s="5"/>
      <c r="C545" s="7"/>
      <c r="D545" s="5"/>
      <c r="E545" s="7"/>
      <c r="F545" s="7"/>
      <c r="G545" s="7"/>
      <c r="AK545" s="5"/>
      <c r="AQ545" s="5"/>
    </row>
    <row r="546" spans="2:43" x14ac:dyDescent="0.35">
      <c r="B546" s="5"/>
      <c r="C546" s="7"/>
      <c r="D546" s="5"/>
      <c r="E546" s="7"/>
      <c r="F546" s="7"/>
      <c r="G546" s="7"/>
      <c r="AK546" s="5"/>
      <c r="AQ546" s="5"/>
    </row>
    <row r="547" spans="2:43" x14ac:dyDescent="0.35">
      <c r="B547" s="5"/>
      <c r="C547" s="7"/>
      <c r="D547" s="5"/>
      <c r="E547" s="7"/>
      <c r="F547" s="7"/>
      <c r="G547" s="7"/>
      <c r="AK547" s="5"/>
      <c r="AQ547" s="5"/>
    </row>
    <row r="548" spans="2:43" x14ac:dyDescent="0.35">
      <c r="B548" s="5"/>
      <c r="C548" s="7"/>
      <c r="D548" s="5"/>
      <c r="E548" s="7"/>
      <c r="F548" s="7"/>
      <c r="G548" s="7"/>
      <c r="AK548" s="5"/>
      <c r="AQ548" s="5"/>
    </row>
    <row r="549" spans="2:43" x14ac:dyDescent="0.35">
      <c r="B549" s="5"/>
      <c r="C549" s="7"/>
      <c r="D549" s="5"/>
      <c r="E549" s="7"/>
      <c r="F549" s="7"/>
      <c r="G549" s="7"/>
      <c r="AK549" s="5"/>
      <c r="AQ549" s="5"/>
    </row>
    <row r="550" spans="2:43" x14ac:dyDescent="0.35">
      <c r="B550" s="5"/>
      <c r="C550" s="7"/>
      <c r="D550" s="5"/>
      <c r="E550" s="7"/>
      <c r="F550" s="7"/>
      <c r="G550" s="7"/>
      <c r="AK550" s="5"/>
      <c r="AQ550" s="5"/>
    </row>
    <row r="551" spans="2:43" x14ac:dyDescent="0.35">
      <c r="B551" s="5"/>
      <c r="C551" s="7"/>
      <c r="D551" s="5"/>
      <c r="E551" s="7"/>
      <c r="F551" s="7"/>
      <c r="G551" s="7"/>
      <c r="AK551" s="5"/>
      <c r="AQ551" s="5"/>
    </row>
    <row r="552" spans="2:43" x14ac:dyDescent="0.35">
      <c r="B552" s="5"/>
      <c r="C552" s="7"/>
      <c r="D552" s="5"/>
      <c r="E552" s="7"/>
      <c r="F552" s="7"/>
      <c r="G552" s="7"/>
      <c r="AK552" s="5"/>
      <c r="AQ552" s="5"/>
    </row>
    <row r="553" spans="2:43" x14ac:dyDescent="0.35">
      <c r="B553" s="5"/>
      <c r="C553" s="7"/>
      <c r="D553" s="5"/>
      <c r="E553" s="7"/>
      <c r="F553" s="7"/>
      <c r="G553" s="7"/>
      <c r="AK553" s="5"/>
      <c r="AQ553" s="5"/>
    </row>
    <row r="554" spans="2:43" x14ac:dyDescent="0.35">
      <c r="B554" s="5"/>
      <c r="C554" s="7"/>
      <c r="D554" s="5"/>
      <c r="E554" s="7"/>
      <c r="F554" s="7"/>
      <c r="G554" s="7"/>
      <c r="AK554" s="5"/>
      <c r="AQ554" s="5"/>
    </row>
    <row r="555" spans="2:43" x14ac:dyDescent="0.35">
      <c r="B555" s="5"/>
      <c r="C555" s="7"/>
      <c r="D555" s="5"/>
      <c r="E555" s="7"/>
      <c r="F555" s="7"/>
      <c r="G555" s="7"/>
      <c r="AK555" s="5"/>
      <c r="AQ555" s="5"/>
    </row>
    <row r="556" spans="2:43" x14ac:dyDescent="0.35">
      <c r="B556" s="5"/>
      <c r="C556" s="7"/>
      <c r="D556" s="5"/>
      <c r="E556" s="7"/>
      <c r="F556" s="7"/>
      <c r="G556" s="7"/>
      <c r="AK556" s="5"/>
      <c r="AQ556" s="5"/>
    </row>
    <row r="557" spans="2:43" x14ac:dyDescent="0.35">
      <c r="B557" s="5"/>
      <c r="C557" s="7"/>
      <c r="D557" s="5"/>
      <c r="E557" s="7"/>
      <c r="F557" s="7"/>
      <c r="G557" s="7"/>
      <c r="AK557" s="5"/>
      <c r="AQ557" s="5"/>
    </row>
    <row r="558" spans="2:43" x14ac:dyDescent="0.35">
      <c r="B558" s="5"/>
      <c r="C558" s="7"/>
      <c r="D558" s="5"/>
      <c r="E558" s="7"/>
      <c r="F558" s="7"/>
      <c r="G558" s="7"/>
      <c r="AK558" s="5"/>
      <c r="AQ558" s="5"/>
    </row>
    <row r="559" spans="2:43" x14ac:dyDescent="0.35">
      <c r="B559" s="5"/>
      <c r="C559" s="7"/>
      <c r="D559" s="5"/>
      <c r="E559" s="7"/>
      <c r="F559" s="7"/>
      <c r="G559" s="7"/>
      <c r="AK559" s="5"/>
      <c r="AQ559" s="5"/>
    </row>
    <row r="560" spans="2:43" x14ac:dyDescent="0.35">
      <c r="B560" s="5"/>
      <c r="C560" s="7"/>
      <c r="D560" s="5"/>
      <c r="E560" s="7"/>
      <c r="F560" s="7"/>
      <c r="G560" s="7"/>
      <c r="AK560" s="5"/>
      <c r="AQ560" s="5"/>
    </row>
    <row r="561" spans="2:43" x14ac:dyDescent="0.35">
      <c r="B561" s="5"/>
      <c r="C561" s="7"/>
      <c r="D561" s="5"/>
      <c r="E561" s="7"/>
      <c r="F561" s="7"/>
      <c r="G561" s="7"/>
      <c r="AK561" s="5"/>
      <c r="AQ561" s="5"/>
    </row>
    <row r="562" spans="2:43" x14ac:dyDescent="0.35">
      <c r="B562" s="5"/>
      <c r="C562" s="7"/>
      <c r="D562" s="5"/>
      <c r="E562" s="7"/>
      <c r="F562" s="7"/>
      <c r="G562" s="7"/>
      <c r="AK562" s="5"/>
      <c r="AQ562" s="5"/>
    </row>
    <row r="563" spans="2:43" x14ac:dyDescent="0.35">
      <c r="B563" s="5"/>
      <c r="C563" s="7"/>
      <c r="D563" s="5"/>
      <c r="E563" s="7"/>
      <c r="F563" s="7"/>
      <c r="G563" s="7"/>
      <c r="AK563" s="5"/>
      <c r="AQ563" s="5"/>
    </row>
    <row r="564" spans="2:43" x14ac:dyDescent="0.35">
      <c r="B564" s="5"/>
      <c r="C564" s="7"/>
      <c r="D564" s="5"/>
      <c r="E564" s="7"/>
      <c r="F564" s="7"/>
      <c r="G564" s="7"/>
      <c r="AK564" s="5"/>
      <c r="AQ564" s="5"/>
    </row>
    <row r="565" spans="2:43" x14ac:dyDescent="0.35">
      <c r="B565" s="5"/>
      <c r="C565" s="7"/>
      <c r="D565" s="5"/>
      <c r="E565" s="7"/>
      <c r="F565" s="7"/>
      <c r="G565" s="7"/>
      <c r="AK565" s="5"/>
      <c r="AQ565" s="5"/>
    </row>
    <row r="566" spans="2:43" x14ac:dyDescent="0.35">
      <c r="B566" s="5"/>
      <c r="C566" s="7"/>
      <c r="D566" s="5"/>
      <c r="E566" s="7"/>
      <c r="F566" s="7"/>
      <c r="G566" s="7"/>
      <c r="AK566" s="5"/>
      <c r="AQ566" s="5"/>
    </row>
    <row r="567" spans="2:43" x14ac:dyDescent="0.35">
      <c r="B567" s="5"/>
      <c r="C567" s="7"/>
      <c r="D567" s="5"/>
      <c r="E567" s="7"/>
      <c r="F567" s="7"/>
      <c r="G567" s="7"/>
      <c r="AK567" s="5"/>
      <c r="AQ567" s="5"/>
    </row>
    <row r="568" spans="2:43" x14ac:dyDescent="0.35">
      <c r="B568" s="5"/>
      <c r="C568" s="7"/>
      <c r="D568" s="5"/>
      <c r="E568" s="7"/>
      <c r="F568" s="7"/>
      <c r="G568" s="7"/>
      <c r="AK568" s="5"/>
      <c r="AQ568" s="5"/>
    </row>
    <row r="569" spans="2:43" x14ac:dyDescent="0.35">
      <c r="B569" s="5"/>
      <c r="C569" s="7"/>
      <c r="D569" s="5"/>
      <c r="E569" s="7"/>
      <c r="F569" s="7"/>
      <c r="G569" s="7"/>
      <c r="AK569" s="5"/>
      <c r="AQ569" s="5"/>
    </row>
    <row r="570" spans="2:43" x14ac:dyDescent="0.35">
      <c r="B570" s="5"/>
      <c r="C570" s="7"/>
      <c r="D570" s="5"/>
      <c r="E570" s="7"/>
      <c r="F570" s="7"/>
      <c r="G570" s="7"/>
      <c r="AK570" s="5"/>
      <c r="AQ570" s="5"/>
    </row>
    <row r="571" spans="2:43" x14ac:dyDescent="0.35">
      <c r="B571" s="5"/>
      <c r="C571" s="7"/>
      <c r="D571" s="5"/>
      <c r="E571" s="7"/>
      <c r="F571" s="7"/>
      <c r="G571" s="7"/>
      <c r="AK571" s="5"/>
      <c r="AQ571" s="5"/>
    </row>
    <row r="572" spans="2:43" x14ac:dyDescent="0.35">
      <c r="B572" s="5"/>
      <c r="C572" s="7"/>
      <c r="D572" s="5"/>
      <c r="E572" s="7"/>
      <c r="F572" s="7"/>
      <c r="G572" s="7"/>
      <c r="AK572" s="5"/>
      <c r="AQ572" s="5"/>
    </row>
    <row r="573" spans="2:43" x14ac:dyDescent="0.35">
      <c r="B573" s="5"/>
      <c r="C573" s="7"/>
      <c r="D573" s="5"/>
      <c r="E573" s="7"/>
      <c r="F573" s="7"/>
      <c r="G573" s="7"/>
      <c r="AK573" s="5"/>
      <c r="AQ573" s="5"/>
    </row>
    <row r="574" spans="2:43" x14ac:dyDescent="0.35">
      <c r="B574" s="5"/>
      <c r="C574" s="7"/>
      <c r="D574" s="5"/>
      <c r="E574" s="7"/>
      <c r="F574" s="7"/>
      <c r="G574" s="7"/>
      <c r="AK574" s="5"/>
      <c r="AQ574" s="5"/>
    </row>
    <row r="575" spans="2:43" x14ac:dyDescent="0.35">
      <c r="B575" s="5"/>
      <c r="C575" s="7"/>
      <c r="D575" s="5"/>
      <c r="E575" s="7"/>
      <c r="F575" s="7"/>
      <c r="G575" s="7"/>
      <c r="AK575" s="5"/>
      <c r="AQ575" s="5"/>
    </row>
    <row r="576" spans="2:43" x14ac:dyDescent="0.35">
      <c r="B576" s="5"/>
      <c r="C576" s="7"/>
      <c r="D576" s="5"/>
      <c r="E576" s="7"/>
      <c r="F576" s="7"/>
      <c r="G576" s="7"/>
      <c r="AK576" s="5"/>
      <c r="AQ576" s="5"/>
    </row>
    <row r="577" spans="2:43" x14ac:dyDescent="0.35">
      <c r="B577" s="5"/>
      <c r="C577" s="7"/>
      <c r="D577" s="5"/>
      <c r="E577" s="7"/>
      <c r="F577" s="7"/>
      <c r="G577" s="7"/>
      <c r="AK577" s="5"/>
      <c r="AQ577" s="5"/>
    </row>
    <row r="578" spans="2:43" x14ac:dyDescent="0.35">
      <c r="B578" s="5"/>
      <c r="C578" s="7"/>
      <c r="D578" s="5"/>
      <c r="E578" s="7"/>
      <c r="F578" s="7"/>
      <c r="G578" s="7"/>
      <c r="AK578" s="5"/>
      <c r="AQ578" s="5"/>
    </row>
    <row r="579" spans="2:43" x14ac:dyDescent="0.35">
      <c r="B579" s="5"/>
      <c r="C579" s="7"/>
      <c r="D579" s="5"/>
      <c r="E579" s="7"/>
      <c r="F579" s="7"/>
      <c r="G579" s="7"/>
      <c r="AK579" s="5"/>
      <c r="AQ579" s="5"/>
    </row>
    <row r="580" spans="2:43" x14ac:dyDescent="0.35">
      <c r="B580" s="5"/>
      <c r="C580" s="7"/>
      <c r="D580" s="5"/>
      <c r="E580" s="7"/>
      <c r="F580" s="7"/>
      <c r="G580" s="7"/>
      <c r="AK580" s="5"/>
      <c r="AQ580" s="5"/>
    </row>
    <row r="581" spans="2:43" x14ac:dyDescent="0.35">
      <c r="B581" s="5"/>
      <c r="C581" s="7"/>
      <c r="D581" s="5"/>
      <c r="E581" s="7"/>
      <c r="F581" s="7"/>
      <c r="G581" s="7"/>
      <c r="AK581" s="5"/>
      <c r="AQ581" s="5"/>
    </row>
    <row r="582" spans="2:43" x14ac:dyDescent="0.35">
      <c r="B582" s="5"/>
      <c r="C582" s="7"/>
      <c r="D582" s="5"/>
      <c r="E582" s="7"/>
      <c r="F582" s="7"/>
      <c r="G582" s="7"/>
      <c r="AK582" s="5"/>
      <c r="AQ582" s="5"/>
    </row>
    <row r="583" spans="2:43" x14ac:dyDescent="0.35">
      <c r="B583" s="5"/>
      <c r="C583" s="7"/>
      <c r="D583" s="5"/>
      <c r="E583" s="7"/>
      <c r="F583" s="7"/>
      <c r="G583" s="7"/>
      <c r="AK583" s="5"/>
      <c r="AQ583" s="5"/>
    </row>
    <row r="584" spans="2:43" x14ac:dyDescent="0.35">
      <c r="B584" s="5"/>
      <c r="C584" s="7"/>
      <c r="D584" s="5"/>
      <c r="E584" s="7"/>
      <c r="F584" s="7"/>
      <c r="G584" s="7"/>
      <c r="AK584" s="5"/>
      <c r="AQ584" s="5"/>
    </row>
    <row r="585" spans="2:43" x14ac:dyDescent="0.35">
      <c r="B585" s="5"/>
      <c r="C585" s="7"/>
      <c r="D585" s="5"/>
      <c r="E585" s="7"/>
      <c r="F585" s="7"/>
      <c r="G585" s="7"/>
      <c r="AK585" s="5"/>
      <c r="AQ585" s="5"/>
    </row>
    <row r="586" spans="2:43" x14ac:dyDescent="0.35">
      <c r="B586" s="5"/>
      <c r="C586" s="7"/>
      <c r="D586" s="5"/>
      <c r="E586" s="7"/>
      <c r="F586" s="7"/>
      <c r="G586" s="7"/>
      <c r="AK586" s="5"/>
      <c r="AQ586" s="5"/>
    </row>
    <row r="587" spans="2:43" x14ac:dyDescent="0.35">
      <c r="B587" s="5"/>
      <c r="C587" s="7"/>
      <c r="D587" s="5"/>
      <c r="E587" s="7"/>
      <c r="F587" s="7"/>
      <c r="G587" s="7"/>
      <c r="AK587" s="5"/>
      <c r="AQ587" s="5"/>
    </row>
    <row r="588" spans="2:43" x14ac:dyDescent="0.35">
      <c r="B588" s="5"/>
      <c r="C588" s="7"/>
      <c r="D588" s="5"/>
      <c r="E588" s="7"/>
      <c r="F588" s="7"/>
      <c r="G588" s="7"/>
      <c r="AK588" s="5"/>
      <c r="AQ588" s="5"/>
    </row>
    <row r="589" spans="2:43" x14ac:dyDescent="0.35">
      <c r="B589" s="5"/>
      <c r="C589" s="7"/>
      <c r="D589" s="5"/>
      <c r="E589" s="7"/>
      <c r="F589" s="7"/>
      <c r="G589" s="7"/>
      <c r="AK589" s="5"/>
      <c r="AQ589" s="5"/>
    </row>
    <row r="590" spans="2:43" x14ac:dyDescent="0.35">
      <c r="B590" s="5"/>
      <c r="C590" s="7"/>
      <c r="D590" s="5"/>
      <c r="E590" s="7"/>
      <c r="F590" s="7"/>
      <c r="G590" s="7"/>
      <c r="AK590" s="5"/>
      <c r="AQ590" s="5"/>
    </row>
    <row r="591" spans="2:43" x14ac:dyDescent="0.35">
      <c r="B591" s="5"/>
      <c r="C591" s="7"/>
      <c r="D591" s="5"/>
      <c r="E591" s="7"/>
      <c r="F591" s="7"/>
      <c r="G591" s="7"/>
      <c r="AK591" s="5"/>
      <c r="AQ591" s="5"/>
    </row>
    <row r="592" spans="2:43" x14ac:dyDescent="0.35">
      <c r="B592" s="5"/>
      <c r="C592" s="7"/>
      <c r="D592" s="5"/>
      <c r="E592" s="7"/>
      <c r="F592" s="7"/>
      <c r="G592" s="7"/>
      <c r="AK592" s="5"/>
      <c r="AQ592" s="5"/>
    </row>
    <row r="593" spans="2:43" x14ac:dyDescent="0.35">
      <c r="B593" s="5"/>
      <c r="C593" s="7"/>
      <c r="D593" s="5"/>
      <c r="E593" s="7"/>
      <c r="F593" s="7"/>
      <c r="G593" s="7"/>
      <c r="AK593" s="5"/>
      <c r="AQ593" s="5"/>
    </row>
    <row r="594" spans="2:43" x14ac:dyDescent="0.35">
      <c r="B594" s="5"/>
      <c r="C594" s="7"/>
      <c r="D594" s="5"/>
      <c r="E594" s="7"/>
      <c r="F594" s="7"/>
      <c r="G594" s="7"/>
      <c r="AK594" s="5"/>
      <c r="AQ594" s="5"/>
    </row>
    <row r="595" spans="2:43" x14ac:dyDescent="0.35">
      <c r="B595" s="5"/>
      <c r="C595" s="7"/>
      <c r="D595" s="5"/>
      <c r="E595" s="7"/>
      <c r="F595" s="7"/>
      <c r="G595" s="7"/>
      <c r="AK595" s="5"/>
      <c r="AQ595" s="5"/>
    </row>
    <row r="596" spans="2:43" x14ac:dyDescent="0.35">
      <c r="B596" s="5"/>
      <c r="C596" s="7"/>
      <c r="D596" s="5"/>
      <c r="E596" s="7"/>
      <c r="F596" s="7"/>
      <c r="G596" s="7"/>
      <c r="AK596" s="5"/>
      <c r="AQ596" s="5"/>
    </row>
    <row r="597" spans="2:43" x14ac:dyDescent="0.35">
      <c r="B597" s="5"/>
      <c r="C597" s="7"/>
      <c r="D597" s="5"/>
      <c r="E597" s="7"/>
      <c r="F597" s="7"/>
      <c r="G597" s="7"/>
      <c r="AK597" s="5"/>
      <c r="AQ597" s="5"/>
    </row>
    <row r="598" spans="2:43" x14ac:dyDescent="0.35">
      <c r="B598" s="5"/>
      <c r="C598" s="7"/>
      <c r="D598" s="5"/>
      <c r="E598" s="7"/>
      <c r="F598" s="7"/>
      <c r="G598" s="7"/>
      <c r="AK598" s="5"/>
      <c r="AQ598" s="5"/>
    </row>
    <row r="599" spans="2:43" x14ac:dyDescent="0.35">
      <c r="B599" s="5"/>
      <c r="C599" s="7"/>
      <c r="D599" s="5"/>
      <c r="E599" s="7"/>
      <c r="F599" s="7"/>
      <c r="G599" s="7"/>
      <c r="AK599" s="5"/>
      <c r="AQ599" s="5"/>
    </row>
    <row r="600" spans="2:43" x14ac:dyDescent="0.35">
      <c r="B600" s="5"/>
      <c r="C600" s="7"/>
      <c r="D600" s="5"/>
      <c r="E600" s="7"/>
      <c r="F600" s="7"/>
      <c r="G600" s="7"/>
      <c r="AK600" s="5"/>
      <c r="AQ600" s="5"/>
    </row>
    <row r="601" spans="2:43" x14ac:dyDescent="0.35">
      <c r="B601" s="5"/>
      <c r="C601" s="7"/>
      <c r="D601" s="5"/>
      <c r="E601" s="7"/>
      <c r="F601" s="7"/>
      <c r="G601" s="7"/>
      <c r="AK601" s="5"/>
      <c r="AQ601" s="5"/>
    </row>
    <row r="602" spans="2:43" x14ac:dyDescent="0.35">
      <c r="B602" s="5"/>
      <c r="C602" s="7"/>
      <c r="D602" s="5"/>
      <c r="E602" s="7"/>
      <c r="F602" s="7"/>
      <c r="G602" s="7"/>
      <c r="AK602" s="5"/>
      <c r="AQ602" s="5"/>
    </row>
    <row r="603" spans="2:43" x14ac:dyDescent="0.35">
      <c r="B603" s="5"/>
      <c r="C603" s="7"/>
      <c r="D603" s="5"/>
      <c r="E603" s="7"/>
      <c r="F603" s="7"/>
      <c r="G603" s="7"/>
      <c r="AK603" s="5"/>
      <c r="AQ603" s="5"/>
    </row>
    <row r="604" spans="2:43" x14ac:dyDescent="0.35">
      <c r="B604" s="5"/>
      <c r="C604" s="7"/>
      <c r="D604" s="5"/>
      <c r="E604" s="7"/>
      <c r="F604" s="7"/>
      <c r="G604" s="7"/>
      <c r="AK604" s="5"/>
      <c r="AQ604" s="5"/>
    </row>
    <row r="605" spans="2:43" x14ac:dyDescent="0.35">
      <c r="B605" s="5"/>
      <c r="C605" s="7"/>
      <c r="D605" s="5"/>
      <c r="E605" s="7"/>
      <c r="F605" s="7"/>
      <c r="G605" s="7"/>
      <c r="AK605" s="5"/>
      <c r="AQ605" s="5"/>
    </row>
    <row r="606" spans="2:43" x14ac:dyDescent="0.35">
      <c r="B606" s="5"/>
      <c r="C606" s="7"/>
      <c r="D606" s="5"/>
      <c r="E606" s="7"/>
      <c r="F606" s="7"/>
      <c r="G606" s="7"/>
      <c r="AK606" s="5"/>
      <c r="AQ606" s="5"/>
    </row>
    <row r="607" spans="2:43" x14ac:dyDescent="0.35">
      <c r="B607" s="5"/>
      <c r="C607" s="7"/>
      <c r="D607" s="5"/>
      <c r="E607" s="7"/>
      <c r="F607" s="7"/>
      <c r="G607" s="7"/>
      <c r="AK607" s="5"/>
      <c r="AQ607" s="5"/>
    </row>
    <row r="608" spans="2:43" x14ac:dyDescent="0.35">
      <c r="B608" s="5"/>
      <c r="C608" s="7"/>
      <c r="D608" s="5"/>
      <c r="E608" s="7"/>
      <c r="F608" s="7"/>
      <c r="G608" s="7"/>
      <c r="AK608" s="5"/>
      <c r="AQ608" s="5"/>
    </row>
    <row r="609" spans="2:43" x14ac:dyDescent="0.35">
      <c r="B609" s="5"/>
      <c r="C609" s="7"/>
      <c r="D609" s="5"/>
      <c r="E609" s="7"/>
      <c r="F609" s="7"/>
      <c r="G609" s="7"/>
      <c r="AK609" s="5"/>
      <c r="AQ609" s="5"/>
    </row>
    <row r="610" spans="2:43" x14ac:dyDescent="0.35">
      <c r="B610" s="5"/>
      <c r="C610" s="7"/>
      <c r="D610" s="5"/>
      <c r="E610" s="7"/>
      <c r="F610" s="7"/>
      <c r="G610" s="7"/>
      <c r="AK610" s="5"/>
      <c r="AQ610" s="5"/>
    </row>
    <row r="611" spans="2:43" x14ac:dyDescent="0.35">
      <c r="B611" s="5"/>
      <c r="C611" s="7"/>
      <c r="D611" s="5"/>
      <c r="E611" s="7"/>
      <c r="F611" s="7"/>
      <c r="G611" s="7"/>
      <c r="AK611" s="5"/>
      <c r="AQ611" s="5"/>
    </row>
    <row r="612" spans="2:43" x14ac:dyDescent="0.35">
      <c r="B612" s="5"/>
      <c r="C612" s="7"/>
      <c r="D612" s="5"/>
      <c r="E612" s="7"/>
      <c r="F612" s="7"/>
      <c r="G612" s="7"/>
      <c r="AK612" s="5"/>
      <c r="AQ612" s="5"/>
    </row>
    <row r="613" spans="2:43" x14ac:dyDescent="0.35">
      <c r="B613" s="5"/>
      <c r="C613" s="7"/>
      <c r="D613" s="5"/>
      <c r="E613" s="7"/>
      <c r="F613" s="7"/>
      <c r="G613" s="7"/>
      <c r="AK613" s="5"/>
      <c r="AQ613" s="5"/>
    </row>
    <row r="614" spans="2:43" x14ac:dyDescent="0.35">
      <c r="B614" s="5"/>
      <c r="C614" s="7"/>
      <c r="D614" s="5"/>
      <c r="E614" s="7"/>
      <c r="F614" s="7"/>
      <c r="G614" s="7"/>
      <c r="AK614" s="5"/>
      <c r="AQ614" s="5"/>
    </row>
    <row r="615" spans="2:43" x14ac:dyDescent="0.35">
      <c r="B615" s="5"/>
      <c r="C615" s="7"/>
      <c r="D615" s="5"/>
      <c r="E615" s="7"/>
      <c r="F615" s="7"/>
      <c r="G615" s="7"/>
      <c r="AK615" s="5"/>
      <c r="AQ615" s="5"/>
    </row>
    <row r="616" spans="2:43" x14ac:dyDescent="0.35">
      <c r="B616" s="5"/>
      <c r="C616" s="7"/>
      <c r="D616" s="5"/>
      <c r="E616" s="7"/>
      <c r="F616" s="7"/>
      <c r="G616" s="7"/>
      <c r="AK616" s="5"/>
      <c r="AQ616" s="5"/>
    </row>
    <row r="617" spans="2:43" x14ac:dyDescent="0.35">
      <c r="B617" s="5"/>
      <c r="C617" s="7"/>
      <c r="D617" s="5"/>
      <c r="E617" s="7"/>
      <c r="F617" s="7"/>
      <c r="G617" s="7"/>
      <c r="AK617" s="5"/>
      <c r="AQ617" s="5"/>
    </row>
    <row r="618" spans="2:43" x14ac:dyDescent="0.35">
      <c r="B618" s="5"/>
      <c r="C618" s="7"/>
      <c r="D618" s="5"/>
      <c r="E618" s="7"/>
      <c r="F618" s="7"/>
      <c r="G618" s="7"/>
      <c r="AK618" s="5"/>
      <c r="AQ618" s="5"/>
    </row>
    <row r="619" spans="2:43" x14ac:dyDescent="0.35">
      <c r="B619" s="5"/>
      <c r="C619" s="7"/>
      <c r="D619" s="5"/>
      <c r="E619" s="7"/>
      <c r="F619" s="7"/>
      <c r="G619" s="7"/>
      <c r="AK619" s="5"/>
      <c r="AQ619" s="5"/>
    </row>
    <row r="620" spans="2:43" x14ac:dyDescent="0.35">
      <c r="B620" s="5"/>
      <c r="C620" s="7"/>
      <c r="D620" s="5"/>
      <c r="E620" s="7"/>
      <c r="F620" s="7"/>
      <c r="G620" s="7"/>
      <c r="AK620" s="5"/>
      <c r="AQ620" s="5"/>
    </row>
    <row r="621" spans="2:43" x14ac:dyDescent="0.35">
      <c r="B621" s="5"/>
      <c r="C621" s="7"/>
      <c r="D621" s="5"/>
      <c r="E621" s="7"/>
      <c r="F621" s="7"/>
      <c r="G621" s="7"/>
      <c r="AK621" s="5"/>
      <c r="AQ621" s="5"/>
    </row>
    <row r="622" spans="2:43" x14ac:dyDescent="0.35">
      <c r="B622" s="5"/>
      <c r="C622" s="7"/>
      <c r="D622" s="5"/>
      <c r="E622" s="7"/>
      <c r="F622" s="7"/>
      <c r="G622" s="7"/>
      <c r="AK622" s="5"/>
      <c r="AQ622" s="5"/>
    </row>
    <row r="623" spans="2:43" x14ac:dyDescent="0.35">
      <c r="B623" s="5"/>
      <c r="C623" s="7"/>
      <c r="D623" s="5"/>
      <c r="E623" s="7"/>
      <c r="F623" s="7"/>
      <c r="G623" s="7"/>
      <c r="AK623" s="5"/>
      <c r="AQ623" s="5"/>
    </row>
    <row r="624" spans="2:43" x14ac:dyDescent="0.35">
      <c r="B624" s="5"/>
      <c r="C624" s="7"/>
      <c r="D624" s="5"/>
      <c r="E624" s="7"/>
      <c r="F624" s="7"/>
      <c r="G624" s="7"/>
      <c r="AK624" s="5"/>
      <c r="AQ624" s="5"/>
    </row>
    <row r="625" spans="2:43" x14ac:dyDescent="0.35">
      <c r="B625" s="5"/>
      <c r="C625" s="7"/>
      <c r="D625" s="5"/>
      <c r="E625" s="7"/>
      <c r="F625" s="7"/>
      <c r="G625" s="7"/>
      <c r="AK625" s="5"/>
      <c r="AQ625" s="5"/>
    </row>
    <row r="626" spans="2:43" x14ac:dyDescent="0.35">
      <c r="B626" s="5"/>
      <c r="C626" s="7"/>
      <c r="D626" s="5"/>
      <c r="E626" s="7"/>
      <c r="F626" s="7"/>
      <c r="G626" s="7"/>
      <c r="AK626" s="5"/>
      <c r="AQ626" s="5"/>
    </row>
    <row r="627" spans="2:43" x14ac:dyDescent="0.35">
      <c r="B627" s="5"/>
      <c r="C627" s="7"/>
      <c r="D627" s="5"/>
      <c r="E627" s="7"/>
      <c r="F627" s="7"/>
      <c r="G627" s="7"/>
      <c r="AK627" s="5"/>
      <c r="AQ627" s="5"/>
    </row>
    <row r="628" spans="2:43" x14ac:dyDescent="0.35">
      <c r="B628" s="5"/>
      <c r="C628" s="7"/>
      <c r="D628" s="5"/>
      <c r="E628" s="7"/>
      <c r="F628" s="7"/>
      <c r="G628" s="7"/>
      <c r="AK628" s="5"/>
      <c r="AQ628" s="5"/>
    </row>
    <row r="629" spans="2:43" x14ac:dyDescent="0.35">
      <c r="B629" s="5"/>
      <c r="C629" s="7"/>
      <c r="D629" s="5"/>
      <c r="E629" s="7"/>
      <c r="F629" s="7"/>
      <c r="G629" s="7"/>
      <c r="AK629" s="5"/>
      <c r="AQ629" s="5"/>
    </row>
    <row r="630" spans="2:43" x14ac:dyDescent="0.35">
      <c r="B630" s="5"/>
      <c r="C630" s="7"/>
      <c r="D630" s="5"/>
      <c r="E630" s="7"/>
      <c r="F630" s="7"/>
      <c r="G630" s="7"/>
      <c r="AK630" s="5"/>
      <c r="AQ630" s="5"/>
    </row>
    <row r="631" spans="2:43" x14ac:dyDescent="0.35">
      <c r="B631" s="5"/>
      <c r="C631" s="7"/>
      <c r="D631" s="5"/>
      <c r="E631" s="7"/>
      <c r="F631" s="7"/>
      <c r="G631" s="7"/>
      <c r="AK631" s="5"/>
      <c r="AQ631" s="5"/>
    </row>
    <row r="632" spans="2:43" x14ac:dyDescent="0.35">
      <c r="B632" s="5"/>
      <c r="C632" s="7"/>
      <c r="D632" s="5"/>
      <c r="E632" s="7"/>
      <c r="F632" s="7"/>
      <c r="G632" s="7"/>
      <c r="AK632" s="5"/>
      <c r="AQ632" s="5"/>
    </row>
    <row r="633" spans="2:43" x14ac:dyDescent="0.35">
      <c r="B633" s="5"/>
      <c r="C633" s="7"/>
      <c r="D633" s="5"/>
      <c r="E633" s="7"/>
      <c r="F633" s="7"/>
      <c r="G633" s="7"/>
      <c r="AK633" s="5"/>
      <c r="AQ633" s="5"/>
    </row>
    <row r="634" spans="2:43" x14ac:dyDescent="0.35">
      <c r="B634" s="5"/>
      <c r="C634" s="7"/>
      <c r="D634" s="5"/>
      <c r="E634" s="7"/>
      <c r="F634" s="7"/>
      <c r="G634" s="7"/>
      <c r="AK634" s="5"/>
      <c r="AQ634" s="5"/>
    </row>
    <row r="635" spans="2:43" x14ac:dyDescent="0.35">
      <c r="B635" s="5"/>
      <c r="C635" s="7"/>
      <c r="D635" s="5"/>
      <c r="E635" s="7"/>
      <c r="F635" s="7"/>
      <c r="G635" s="7"/>
      <c r="AK635" s="5"/>
      <c r="AQ635" s="5"/>
    </row>
    <row r="636" spans="2:43" x14ac:dyDescent="0.35">
      <c r="B636" s="5"/>
      <c r="C636" s="7"/>
      <c r="D636" s="5"/>
      <c r="E636" s="7"/>
      <c r="F636" s="7"/>
      <c r="G636" s="7"/>
      <c r="AK636" s="5"/>
      <c r="AQ636" s="5"/>
    </row>
    <row r="637" spans="2:43" x14ac:dyDescent="0.35">
      <c r="B637" s="5"/>
      <c r="C637" s="7"/>
      <c r="D637" s="5"/>
      <c r="E637" s="7"/>
      <c r="F637" s="7"/>
      <c r="G637" s="7"/>
      <c r="AK637" s="5"/>
      <c r="AQ637" s="5"/>
    </row>
    <row r="638" spans="2:43" x14ac:dyDescent="0.35">
      <c r="B638" s="5"/>
      <c r="C638" s="7"/>
      <c r="D638" s="5"/>
      <c r="E638" s="7"/>
      <c r="F638" s="7"/>
      <c r="G638" s="7"/>
      <c r="AK638" s="5"/>
      <c r="AQ638" s="5"/>
    </row>
    <row r="639" spans="2:43" x14ac:dyDescent="0.35">
      <c r="B639" s="5"/>
      <c r="C639" s="7"/>
      <c r="D639" s="5"/>
      <c r="E639" s="7"/>
      <c r="F639" s="7"/>
      <c r="G639" s="7"/>
      <c r="AK639" s="5"/>
      <c r="AQ639" s="5"/>
    </row>
    <row r="640" spans="2:43" x14ac:dyDescent="0.35">
      <c r="B640" s="5"/>
      <c r="C640" s="7"/>
      <c r="D640" s="5"/>
      <c r="E640" s="7"/>
      <c r="F640" s="7"/>
      <c r="G640" s="7"/>
      <c r="AK640" s="5"/>
      <c r="AQ640" s="5"/>
    </row>
    <row r="641" spans="2:43" x14ac:dyDescent="0.35">
      <c r="B641" s="5"/>
      <c r="C641" s="7"/>
      <c r="D641" s="5"/>
      <c r="E641" s="7"/>
      <c r="F641" s="7"/>
      <c r="G641" s="7"/>
      <c r="AK641" s="5"/>
      <c r="AQ641" s="5"/>
    </row>
    <row r="642" spans="2:43" x14ac:dyDescent="0.35">
      <c r="B642" s="5"/>
      <c r="C642" s="7"/>
      <c r="D642" s="5"/>
      <c r="E642" s="7"/>
      <c r="F642" s="7"/>
      <c r="G642" s="7"/>
      <c r="AK642" s="5"/>
      <c r="AQ642" s="5"/>
    </row>
    <row r="643" spans="2:43" x14ac:dyDescent="0.35">
      <c r="B643" s="5"/>
      <c r="C643" s="7"/>
      <c r="D643" s="5"/>
      <c r="E643" s="7"/>
      <c r="F643" s="7"/>
      <c r="G643" s="7"/>
      <c r="AK643" s="5"/>
      <c r="AQ643" s="5"/>
    </row>
    <row r="644" spans="2:43" x14ac:dyDescent="0.35">
      <c r="B644" s="5"/>
      <c r="C644" s="7"/>
      <c r="D644" s="5"/>
      <c r="E644" s="7"/>
      <c r="F644" s="7"/>
      <c r="G644" s="7"/>
      <c r="AK644" s="5"/>
      <c r="AQ644" s="5"/>
    </row>
    <row r="645" spans="2:43" x14ac:dyDescent="0.35">
      <c r="B645" s="5"/>
      <c r="C645" s="7"/>
      <c r="D645" s="5"/>
      <c r="E645" s="7"/>
      <c r="F645" s="7"/>
      <c r="G645" s="7"/>
      <c r="AK645" s="5"/>
      <c r="AQ645" s="5"/>
    </row>
    <row r="646" spans="2:43" x14ac:dyDescent="0.35">
      <c r="B646" s="5"/>
      <c r="C646" s="7"/>
      <c r="D646" s="5"/>
      <c r="E646" s="7"/>
      <c r="F646" s="7"/>
      <c r="G646" s="7"/>
      <c r="AK646" s="5"/>
      <c r="AQ646" s="5"/>
    </row>
    <row r="647" spans="2:43" x14ac:dyDescent="0.35">
      <c r="B647" s="5"/>
      <c r="C647" s="7"/>
      <c r="D647" s="5"/>
      <c r="E647" s="7"/>
      <c r="F647" s="7"/>
      <c r="G647" s="7"/>
      <c r="AK647" s="5"/>
      <c r="AQ647" s="5"/>
    </row>
    <row r="648" spans="2:43" x14ac:dyDescent="0.35">
      <c r="B648" s="5"/>
      <c r="C648" s="7"/>
      <c r="D648" s="5"/>
      <c r="E648" s="7"/>
      <c r="F648" s="7"/>
      <c r="G648" s="7"/>
      <c r="AK648" s="5"/>
      <c r="AQ648" s="5"/>
    </row>
    <row r="649" spans="2:43" x14ac:dyDescent="0.35">
      <c r="B649" s="5"/>
      <c r="C649" s="7"/>
      <c r="D649" s="5"/>
      <c r="E649" s="7"/>
      <c r="F649" s="7"/>
      <c r="G649" s="7"/>
      <c r="AK649" s="5"/>
      <c r="AQ649" s="5"/>
    </row>
    <row r="650" spans="2:43" x14ac:dyDescent="0.35">
      <c r="B650" s="5"/>
      <c r="C650" s="7"/>
      <c r="D650" s="5"/>
      <c r="E650" s="7"/>
      <c r="F650" s="7"/>
      <c r="G650" s="7"/>
      <c r="AK650" s="5"/>
      <c r="AQ650" s="5"/>
    </row>
    <row r="651" spans="2:43" x14ac:dyDescent="0.35">
      <c r="B651" s="5"/>
      <c r="C651" s="7"/>
      <c r="D651" s="5"/>
      <c r="E651" s="7"/>
      <c r="F651" s="7"/>
      <c r="G651" s="7"/>
      <c r="AK651" s="5"/>
      <c r="AQ651" s="5"/>
    </row>
    <row r="652" spans="2:43" x14ac:dyDescent="0.35">
      <c r="B652" s="5"/>
      <c r="C652" s="7"/>
      <c r="D652" s="5"/>
      <c r="E652" s="7"/>
      <c r="F652" s="7"/>
      <c r="G652" s="7"/>
      <c r="AK652" s="5"/>
      <c r="AQ652" s="5"/>
    </row>
    <row r="653" spans="2:43" x14ac:dyDescent="0.35">
      <c r="B653" s="5"/>
      <c r="C653" s="7"/>
      <c r="D653" s="5"/>
      <c r="E653" s="7"/>
      <c r="F653" s="7"/>
      <c r="G653" s="7"/>
      <c r="AK653" s="5"/>
      <c r="AQ653" s="5"/>
    </row>
    <row r="654" spans="2:43" x14ac:dyDescent="0.35">
      <c r="B654" s="5"/>
      <c r="C654" s="7"/>
      <c r="D654" s="5"/>
      <c r="E654" s="7"/>
      <c r="F654" s="7"/>
      <c r="G654" s="7"/>
      <c r="AK654" s="5"/>
      <c r="AQ654" s="5"/>
    </row>
    <row r="655" spans="2:43" x14ac:dyDescent="0.35">
      <c r="B655" s="5"/>
      <c r="C655" s="7"/>
      <c r="D655" s="5"/>
      <c r="E655" s="7"/>
      <c r="F655" s="7"/>
      <c r="G655" s="7"/>
      <c r="AK655" s="5"/>
      <c r="AQ655" s="5"/>
    </row>
    <row r="656" spans="2:43" x14ac:dyDescent="0.35">
      <c r="B656" s="5"/>
      <c r="C656" s="7"/>
      <c r="D656" s="5"/>
      <c r="E656" s="7"/>
      <c r="F656" s="7"/>
      <c r="G656" s="7"/>
      <c r="AK656" s="5"/>
      <c r="AQ656" s="5"/>
    </row>
    <row r="657" spans="2:43" x14ac:dyDescent="0.35">
      <c r="B657" s="5"/>
      <c r="C657" s="7"/>
      <c r="D657" s="5"/>
      <c r="E657" s="7"/>
      <c r="F657" s="7"/>
      <c r="G657" s="7"/>
      <c r="AK657" s="5"/>
      <c r="AQ657" s="5"/>
    </row>
    <row r="658" spans="2:43" x14ac:dyDescent="0.35">
      <c r="B658" s="5"/>
      <c r="C658" s="7"/>
      <c r="D658" s="5"/>
      <c r="E658" s="7"/>
      <c r="F658" s="7"/>
      <c r="G658" s="7"/>
      <c r="AK658" s="5"/>
      <c r="AQ658" s="5"/>
    </row>
    <row r="659" spans="2:43" x14ac:dyDescent="0.35">
      <c r="B659" s="5"/>
      <c r="C659" s="7"/>
      <c r="D659" s="5"/>
      <c r="E659" s="7"/>
      <c r="F659" s="7"/>
      <c r="G659" s="7"/>
      <c r="AK659" s="5"/>
      <c r="AQ659" s="5"/>
    </row>
    <row r="660" spans="2:43" x14ac:dyDescent="0.35">
      <c r="B660" s="5"/>
      <c r="C660" s="7"/>
      <c r="D660" s="5"/>
      <c r="E660" s="7"/>
      <c r="F660" s="7"/>
      <c r="G660" s="7"/>
      <c r="AK660" s="5"/>
      <c r="AQ660" s="5"/>
    </row>
    <row r="661" spans="2:43" x14ac:dyDescent="0.35">
      <c r="B661" s="5"/>
      <c r="C661" s="7"/>
      <c r="D661" s="5"/>
      <c r="E661" s="7"/>
      <c r="F661" s="7"/>
      <c r="G661" s="7"/>
      <c r="AK661" s="5"/>
      <c r="AQ661" s="5"/>
    </row>
    <row r="662" spans="2:43" x14ac:dyDescent="0.35">
      <c r="B662" s="5"/>
      <c r="C662" s="7"/>
      <c r="D662" s="5"/>
      <c r="E662" s="7"/>
      <c r="F662" s="7"/>
      <c r="G662" s="7"/>
      <c r="AK662" s="5"/>
      <c r="AQ662" s="5"/>
    </row>
    <row r="663" spans="2:43" x14ac:dyDescent="0.35">
      <c r="B663" s="5"/>
      <c r="C663" s="7"/>
      <c r="D663" s="5"/>
      <c r="E663" s="7"/>
      <c r="F663" s="7"/>
      <c r="G663" s="7"/>
      <c r="AK663" s="5"/>
      <c r="AQ663" s="5"/>
    </row>
    <row r="664" spans="2:43" x14ac:dyDescent="0.35">
      <c r="B664" s="5"/>
      <c r="C664" s="7"/>
      <c r="D664" s="5"/>
      <c r="E664" s="7"/>
      <c r="F664" s="7"/>
      <c r="G664" s="7"/>
      <c r="AK664" s="5"/>
      <c r="AQ664" s="5"/>
    </row>
    <row r="665" spans="2:43" x14ac:dyDescent="0.35">
      <c r="B665" s="5"/>
      <c r="C665" s="7"/>
      <c r="D665" s="5"/>
      <c r="E665" s="7"/>
      <c r="F665" s="7"/>
      <c r="G665" s="7"/>
      <c r="AK665" s="5"/>
      <c r="AQ665" s="5"/>
    </row>
    <row r="666" spans="2:43" x14ac:dyDescent="0.35">
      <c r="B666" s="5"/>
      <c r="C666" s="7"/>
      <c r="D666" s="5"/>
      <c r="E666" s="7"/>
      <c r="F666" s="7"/>
      <c r="G666" s="7"/>
      <c r="AK666" s="5"/>
      <c r="AQ666" s="5"/>
    </row>
    <row r="667" spans="2:43" x14ac:dyDescent="0.35">
      <c r="B667" s="5"/>
      <c r="C667" s="7"/>
      <c r="D667" s="5"/>
      <c r="E667" s="7"/>
      <c r="F667" s="7"/>
      <c r="G667" s="7"/>
      <c r="AK667" s="5"/>
      <c r="AQ667" s="5"/>
    </row>
    <row r="668" spans="2:43" x14ac:dyDescent="0.35">
      <c r="B668" s="5"/>
      <c r="C668" s="7"/>
      <c r="D668" s="5"/>
      <c r="E668" s="7"/>
      <c r="F668" s="7"/>
      <c r="G668" s="7"/>
      <c r="AK668" s="5"/>
      <c r="AQ668" s="5"/>
    </row>
    <row r="669" spans="2:43" x14ac:dyDescent="0.35">
      <c r="B669" s="5"/>
      <c r="C669" s="7"/>
      <c r="D669" s="5"/>
      <c r="E669" s="7"/>
      <c r="F669" s="7"/>
      <c r="G669" s="7"/>
      <c r="AK669" s="5"/>
      <c r="AQ669" s="5"/>
    </row>
    <row r="670" spans="2:43" x14ac:dyDescent="0.35">
      <c r="B670" s="5"/>
      <c r="C670" s="7"/>
      <c r="D670" s="5"/>
      <c r="E670" s="7"/>
      <c r="F670" s="7"/>
      <c r="G670" s="7"/>
      <c r="AK670" s="5"/>
      <c r="AQ670" s="5"/>
    </row>
    <row r="671" spans="2:43" x14ac:dyDescent="0.35">
      <c r="B671" s="5"/>
      <c r="C671" s="7"/>
      <c r="D671" s="5"/>
      <c r="E671" s="7"/>
      <c r="F671" s="7"/>
      <c r="G671" s="7"/>
      <c r="AK671" s="5"/>
      <c r="AQ671" s="5"/>
    </row>
    <row r="672" spans="2:43" x14ac:dyDescent="0.35">
      <c r="B672" s="5"/>
      <c r="C672" s="7"/>
      <c r="D672" s="5"/>
      <c r="E672" s="7"/>
      <c r="F672" s="7"/>
      <c r="G672" s="7"/>
      <c r="AK672" s="5"/>
      <c r="AQ672" s="5"/>
    </row>
    <row r="673" spans="2:43" x14ac:dyDescent="0.35">
      <c r="B673" s="5"/>
      <c r="C673" s="7"/>
      <c r="D673" s="5"/>
      <c r="E673" s="7"/>
      <c r="F673" s="7"/>
      <c r="G673" s="7"/>
      <c r="AK673" s="5"/>
      <c r="AQ673" s="5"/>
    </row>
    <row r="674" spans="2:43" x14ac:dyDescent="0.35">
      <c r="B674" s="5"/>
      <c r="C674" s="7"/>
      <c r="D674" s="5"/>
      <c r="E674" s="7"/>
      <c r="F674" s="7"/>
      <c r="G674" s="7"/>
      <c r="AK674" s="5"/>
      <c r="AQ674" s="5"/>
    </row>
    <row r="675" spans="2:43" x14ac:dyDescent="0.35">
      <c r="B675" s="5"/>
      <c r="C675" s="7"/>
      <c r="D675" s="5"/>
      <c r="E675" s="7"/>
      <c r="F675" s="7"/>
      <c r="G675" s="7"/>
      <c r="AK675" s="5"/>
      <c r="AQ675" s="5"/>
    </row>
    <row r="676" spans="2:43" x14ac:dyDescent="0.35">
      <c r="B676" s="5"/>
      <c r="C676" s="7"/>
      <c r="D676" s="5"/>
      <c r="E676" s="7"/>
      <c r="F676" s="7"/>
      <c r="G676" s="7"/>
      <c r="AK676" s="5"/>
      <c r="AQ676" s="5"/>
    </row>
    <row r="677" spans="2:43" x14ac:dyDescent="0.35">
      <c r="B677" s="5"/>
      <c r="C677" s="7"/>
      <c r="D677" s="5"/>
      <c r="E677" s="7"/>
      <c r="F677" s="7"/>
      <c r="G677" s="7"/>
      <c r="AK677" s="5"/>
      <c r="AQ677" s="5"/>
    </row>
    <row r="678" spans="2:43" x14ac:dyDescent="0.35">
      <c r="B678" s="5"/>
      <c r="C678" s="7"/>
      <c r="D678" s="5"/>
      <c r="E678" s="7"/>
      <c r="F678" s="7"/>
      <c r="G678" s="7"/>
      <c r="AK678" s="5"/>
      <c r="AQ678" s="5"/>
    </row>
    <row r="679" spans="2:43" x14ac:dyDescent="0.35">
      <c r="B679" s="5"/>
      <c r="C679" s="7"/>
      <c r="D679" s="5"/>
      <c r="E679" s="7"/>
      <c r="F679" s="7"/>
      <c r="G679" s="7"/>
      <c r="AK679" s="5"/>
      <c r="AQ679" s="5"/>
    </row>
    <row r="680" spans="2:43" x14ac:dyDescent="0.35">
      <c r="B680" s="5"/>
      <c r="C680" s="7"/>
      <c r="D680" s="5"/>
      <c r="E680" s="7"/>
      <c r="F680" s="7"/>
      <c r="G680" s="7"/>
      <c r="AK680" s="5"/>
      <c r="AQ680" s="5"/>
    </row>
    <row r="681" spans="2:43" x14ac:dyDescent="0.35">
      <c r="B681" s="5"/>
      <c r="C681" s="7"/>
      <c r="D681" s="5"/>
      <c r="E681" s="7"/>
      <c r="F681" s="7"/>
      <c r="G681" s="7"/>
      <c r="AK681" s="5"/>
      <c r="AQ681" s="5"/>
    </row>
    <row r="682" spans="2:43" x14ac:dyDescent="0.35">
      <c r="B682" s="5"/>
      <c r="C682" s="7"/>
      <c r="D682" s="5"/>
      <c r="E682" s="7"/>
      <c r="F682" s="7"/>
      <c r="G682" s="7"/>
      <c r="AK682" s="5"/>
      <c r="AQ682" s="5"/>
    </row>
    <row r="683" spans="2:43" x14ac:dyDescent="0.35">
      <c r="B683" s="5"/>
      <c r="C683" s="7"/>
      <c r="D683" s="5"/>
      <c r="E683" s="7"/>
      <c r="F683" s="7"/>
      <c r="G683" s="7"/>
      <c r="AK683" s="5"/>
      <c r="AQ683" s="5"/>
    </row>
    <row r="684" spans="2:43" x14ac:dyDescent="0.35">
      <c r="B684" s="5"/>
      <c r="C684" s="7"/>
      <c r="D684" s="5"/>
      <c r="E684" s="7"/>
      <c r="F684" s="7"/>
      <c r="G684" s="7"/>
      <c r="AK684" s="5"/>
      <c r="AQ684" s="5"/>
    </row>
    <row r="685" spans="2:43" x14ac:dyDescent="0.35">
      <c r="B685" s="5"/>
      <c r="C685" s="7"/>
      <c r="D685" s="5"/>
      <c r="E685" s="7"/>
      <c r="F685" s="7"/>
      <c r="G685" s="7"/>
      <c r="AK685" s="5"/>
      <c r="AQ685" s="5"/>
    </row>
    <row r="686" spans="2:43" x14ac:dyDescent="0.35">
      <c r="B686" s="5"/>
      <c r="C686" s="7"/>
      <c r="D686" s="5"/>
      <c r="E686" s="7"/>
      <c r="F686" s="7"/>
      <c r="G686" s="7"/>
      <c r="AK686" s="5"/>
      <c r="AQ686" s="5"/>
    </row>
    <row r="687" spans="2:43" x14ac:dyDescent="0.35">
      <c r="B687" s="5"/>
      <c r="C687" s="7"/>
      <c r="D687" s="5"/>
      <c r="E687" s="7"/>
      <c r="F687" s="7"/>
      <c r="G687" s="7"/>
      <c r="AK687" s="5"/>
      <c r="AQ687" s="5"/>
    </row>
    <row r="688" spans="2:43" x14ac:dyDescent="0.35">
      <c r="B688" s="5"/>
      <c r="C688" s="7"/>
      <c r="D688" s="5"/>
      <c r="E688" s="7"/>
      <c r="F688" s="7"/>
      <c r="G688" s="7"/>
      <c r="AK688" s="5"/>
      <c r="AQ688" s="5"/>
    </row>
    <row r="689" spans="2:43" x14ac:dyDescent="0.35">
      <c r="B689" s="5"/>
      <c r="C689" s="7"/>
      <c r="D689" s="5"/>
      <c r="E689" s="7"/>
      <c r="F689" s="7"/>
      <c r="G689" s="7"/>
      <c r="AK689" s="5"/>
      <c r="AQ689" s="5"/>
    </row>
    <row r="690" spans="2:43" x14ac:dyDescent="0.35">
      <c r="B690" s="5"/>
      <c r="C690" s="7"/>
      <c r="D690" s="5"/>
      <c r="E690" s="7"/>
      <c r="F690" s="7"/>
      <c r="G690" s="7"/>
      <c r="AK690" s="5"/>
      <c r="AQ690" s="5"/>
    </row>
    <row r="691" spans="2:43" x14ac:dyDescent="0.35">
      <c r="B691" s="5"/>
      <c r="C691" s="7"/>
      <c r="D691" s="5"/>
      <c r="E691" s="7"/>
      <c r="F691" s="7"/>
      <c r="G691" s="7"/>
      <c r="AK691" s="5"/>
      <c r="AQ691" s="5"/>
    </row>
    <row r="692" spans="2:43" x14ac:dyDescent="0.35">
      <c r="B692" s="5"/>
      <c r="C692" s="7"/>
      <c r="D692" s="5"/>
      <c r="E692" s="7"/>
      <c r="F692" s="7"/>
      <c r="G692" s="7"/>
      <c r="AK692" s="5"/>
      <c r="AQ692" s="5"/>
    </row>
    <row r="693" spans="2:43" x14ac:dyDescent="0.35">
      <c r="B693" s="5"/>
      <c r="C693" s="7"/>
      <c r="D693" s="5"/>
      <c r="E693" s="7"/>
      <c r="F693" s="7"/>
      <c r="G693" s="7"/>
      <c r="AK693" s="5"/>
      <c r="AQ693" s="5"/>
    </row>
    <row r="694" spans="2:43" x14ac:dyDescent="0.35">
      <c r="B694" s="5"/>
      <c r="C694" s="7"/>
      <c r="D694" s="5"/>
      <c r="E694" s="7"/>
      <c r="F694" s="7"/>
      <c r="G694" s="7"/>
      <c r="AK694" s="5"/>
      <c r="AQ694" s="5"/>
    </row>
    <row r="695" spans="2:43" x14ac:dyDescent="0.35">
      <c r="B695" s="5"/>
      <c r="C695" s="7"/>
      <c r="D695" s="5"/>
      <c r="E695" s="7"/>
      <c r="F695" s="7"/>
      <c r="G695" s="7"/>
      <c r="AK695" s="5"/>
      <c r="AQ695" s="5"/>
    </row>
    <row r="696" spans="2:43" x14ac:dyDescent="0.35">
      <c r="B696" s="5"/>
      <c r="C696" s="7"/>
      <c r="D696" s="5"/>
      <c r="E696" s="7"/>
      <c r="F696" s="7"/>
      <c r="G696" s="7"/>
      <c r="AK696" s="5"/>
      <c r="AQ696" s="5"/>
    </row>
    <row r="697" spans="2:43" x14ac:dyDescent="0.35">
      <c r="B697" s="5"/>
      <c r="C697" s="7"/>
      <c r="D697" s="5"/>
      <c r="E697" s="7"/>
      <c r="F697" s="7"/>
      <c r="G697" s="7"/>
      <c r="AK697" s="5"/>
      <c r="AQ697" s="5"/>
    </row>
    <row r="698" spans="2:43" x14ac:dyDescent="0.35">
      <c r="B698" s="5"/>
      <c r="C698" s="7"/>
      <c r="D698" s="5"/>
      <c r="E698" s="7"/>
      <c r="F698" s="7"/>
      <c r="G698" s="7"/>
      <c r="AK698" s="5"/>
      <c r="AQ698" s="5"/>
    </row>
    <row r="699" spans="2:43" x14ac:dyDescent="0.35">
      <c r="B699" s="5"/>
      <c r="C699" s="7"/>
      <c r="D699" s="5"/>
      <c r="E699" s="7"/>
      <c r="F699" s="7"/>
      <c r="G699" s="7"/>
      <c r="AK699" s="5"/>
      <c r="AQ699" s="5"/>
    </row>
    <row r="700" spans="2:43" x14ac:dyDescent="0.35">
      <c r="B700" s="5"/>
      <c r="C700" s="7"/>
      <c r="D700" s="5"/>
      <c r="E700" s="7"/>
      <c r="F700" s="7"/>
      <c r="G700" s="7"/>
      <c r="AK700" s="5"/>
      <c r="AQ700" s="5"/>
    </row>
    <row r="701" spans="2:43" x14ac:dyDescent="0.35">
      <c r="B701" s="5"/>
      <c r="C701" s="7"/>
      <c r="D701" s="5"/>
      <c r="E701" s="7"/>
      <c r="F701" s="7"/>
      <c r="G701" s="7"/>
      <c r="AK701" s="5"/>
      <c r="AQ701" s="5"/>
    </row>
    <row r="702" spans="2:43" x14ac:dyDescent="0.35">
      <c r="B702" s="5"/>
      <c r="C702" s="7"/>
      <c r="D702" s="5"/>
      <c r="E702" s="7"/>
      <c r="F702" s="7"/>
      <c r="G702" s="7"/>
      <c r="AK702" s="5"/>
      <c r="AQ702" s="5"/>
    </row>
    <row r="703" spans="2:43" x14ac:dyDescent="0.35">
      <c r="B703" s="5"/>
      <c r="C703" s="7"/>
      <c r="D703" s="5"/>
      <c r="E703" s="7"/>
      <c r="F703" s="7"/>
      <c r="G703" s="7"/>
      <c r="AK703" s="5"/>
      <c r="AQ703" s="5"/>
    </row>
    <row r="704" spans="2:43" x14ac:dyDescent="0.35">
      <c r="B704" s="5"/>
      <c r="C704" s="7"/>
      <c r="D704" s="5"/>
      <c r="E704" s="7"/>
      <c r="F704" s="7"/>
      <c r="G704" s="7"/>
      <c r="AK704" s="5"/>
      <c r="AQ704" s="5"/>
    </row>
    <row r="705" spans="2:43" x14ac:dyDescent="0.35">
      <c r="B705" s="5"/>
      <c r="C705" s="7"/>
      <c r="D705" s="5"/>
      <c r="E705" s="7"/>
      <c r="F705" s="7"/>
      <c r="G705" s="7"/>
      <c r="AK705" s="5"/>
      <c r="AQ705" s="5"/>
    </row>
    <row r="706" spans="2:43" x14ac:dyDescent="0.35">
      <c r="B706" s="5"/>
      <c r="C706" s="7"/>
      <c r="D706" s="5"/>
      <c r="E706" s="7"/>
      <c r="F706" s="7"/>
      <c r="G706" s="7"/>
      <c r="AK706" s="5"/>
      <c r="AQ706" s="5"/>
    </row>
    <row r="707" spans="2:43" x14ac:dyDescent="0.35">
      <c r="B707" s="5"/>
      <c r="C707" s="7"/>
      <c r="D707" s="5"/>
      <c r="E707" s="7"/>
      <c r="F707" s="7"/>
      <c r="G707" s="7"/>
      <c r="AK707" s="5"/>
      <c r="AQ707" s="5"/>
    </row>
    <row r="708" spans="2:43" x14ac:dyDescent="0.35">
      <c r="B708" s="5"/>
      <c r="C708" s="7"/>
      <c r="D708" s="5"/>
      <c r="E708" s="7"/>
      <c r="F708" s="7"/>
      <c r="G708" s="7"/>
      <c r="AK708" s="5"/>
      <c r="AQ708" s="5"/>
    </row>
    <row r="709" spans="2:43" x14ac:dyDescent="0.35">
      <c r="B709" s="5"/>
      <c r="C709" s="7"/>
      <c r="D709" s="5"/>
      <c r="E709" s="7"/>
      <c r="F709" s="7"/>
      <c r="G709" s="7"/>
      <c r="AK709" s="5"/>
      <c r="AQ709" s="5"/>
    </row>
    <row r="710" spans="2:43" x14ac:dyDescent="0.35">
      <c r="B710" s="5"/>
      <c r="C710" s="7"/>
      <c r="D710" s="5"/>
      <c r="E710" s="7"/>
      <c r="F710" s="7"/>
      <c r="G710" s="7"/>
      <c r="AK710" s="5"/>
      <c r="AQ710" s="5"/>
    </row>
    <row r="711" spans="2:43" x14ac:dyDescent="0.35">
      <c r="B711" s="5"/>
      <c r="C711" s="7"/>
      <c r="D711" s="5"/>
      <c r="E711" s="7"/>
      <c r="F711" s="7"/>
      <c r="G711" s="7"/>
      <c r="AK711" s="5"/>
      <c r="AQ711" s="5"/>
    </row>
    <row r="712" spans="2:43" x14ac:dyDescent="0.35">
      <c r="B712" s="5"/>
      <c r="C712" s="7"/>
      <c r="D712" s="5"/>
      <c r="E712" s="7"/>
      <c r="F712" s="7"/>
      <c r="G712" s="7"/>
      <c r="AK712" s="5"/>
      <c r="AQ712" s="5"/>
    </row>
    <row r="713" spans="2:43" x14ac:dyDescent="0.35">
      <c r="B713" s="5"/>
      <c r="C713" s="7"/>
      <c r="D713" s="5"/>
      <c r="E713" s="7"/>
      <c r="F713" s="7"/>
      <c r="G713" s="7"/>
      <c r="AK713" s="5"/>
      <c r="AQ713" s="5"/>
    </row>
    <row r="714" spans="2:43" x14ac:dyDescent="0.35">
      <c r="B714" s="5"/>
      <c r="C714" s="7"/>
      <c r="D714" s="5"/>
      <c r="E714" s="7"/>
      <c r="F714" s="7"/>
      <c r="G714" s="7"/>
      <c r="AK714" s="5"/>
      <c r="AQ714" s="5"/>
    </row>
    <row r="715" spans="2:43" x14ac:dyDescent="0.35">
      <c r="B715" s="5"/>
      <c r="C715" s="7"/>
      <c r="D715" s="5"/>
      <c r="E715" s="7"/>
      <c r="F715" s="7"/>
      <c r="G715" s="7"/>
      <c r="AK715" s="5"/>
      <c r="AQ715" s="5"/>
    </row>
    <row r="716" spans="2:43" x14ac:dyDescent="0.35">
      <c r="B716" s="5"/>
      <c r="C716" s="7"/>
      <c r="D716" s="5"/>
      <c r="E716" s="7"/>
      <c r="F716" s="7"/>
      <c r="G716" s="7"/>
      <c r="AK716" s="5"/>
      <c r="AQ716" s="5"/>
    </row>
    <row r="717" spans="2:43" x14ac:dyDescent="0.35">
      <c r="B717" s="5"/>
      <c r="C717" s="7"/>
      <c r="D717" s="5"/>
      <c r="E717" s="7"/>
      <c r="F717" s="7"/>
      <c r="G717" s="7"/>
      <c r="AK717" s="5"/>
      <c r="AQ717" s="5"/>
    </row>
    <row r="718" spans="2:43" x14ac:dyDescent="0.35">
      <c r="B718" s="5"/>
      <c r="C718" s="7"/>
      <c r="D718" s="5"/>
      <c r="E718" s="7"/>
      <c r="F718" s="7"/>
      <c r="G718" s="7"/>
      <c r="AK718" s="5"/>
      <c r="AQ718" s="5"/>
    </row>
    <row r="719" spans="2:43" x14ac:dyDescent="0.35">
      <c r="B719" s="5"/>
      <c r="C719" s="7"/>
      <c r="D719" s="5"/>
      <c r="E719" s="7"/>
      <c r="F719" s="7"/>
      <c r="G719" s="7"/>
      <c r="AK719" s="5"/>
      <c r="AQ719" s="5"/>
    </row>
    <row r="720" spans="2:43" x14ac:dyDescent="0.35">
      <c r="B720" s="5"/>
      <c r="C720" s="7"/>
      <c r="D720" s="5"/>
      <c r="E720" s="7"/>
      <c r="F720" s="7"/>
      <c r="G720" s="7"/>
      <c r="AK720" s="5"/>
      <c r="AQ720" s="5"/>
    </row>
    <row r="721" spans="2:43" x14ac:dyDescent="0.35">
      <c r="B721" s="5"/>
      <c r="C721" s="7"/>
      <c r="D721" s="5"/>
      <c r="E721" s="7"/>
      <c r="F721" s="7"/>
      <c r="G721" s="7"/>
      <c r="AK721" s="5"/>
      <c r="AQ721" s="5"/>
    </row>
    <row r="722" spans="2:43" x14ac:dyDescent="0.35">
      <c r="B722" s="5"/>
      <c r="C722" s="7"/>
      <c r="D722" s="5"/>
      <c r="E722" s="7"/>
      <c r="F722" s="7"/>
      <c r="G722" s="7"/>
      <c r="AK722" s="5"/>
      <c r="AQ722" s="5"/>
    </row>
    <row r="723" spans="2:43" x14ac:dyDescent="0.35">
      <c r="B723" s="5"/>
      <c r="C723" s="7"/>
      <c r="D723" s="5"/>
      <c r="E723" s="7"/>
      <c r="F723" s="7"/>
      <c r="G723" s="7"/>
      <c r="AK723" s="5"/>
      <c r="AQ723" s="5"/>
    </row>
    <row r="724" spans="2:43" x14ac:dyDescent="0.35">
      <c r="B724" s="5"/>
      <c r="C724" s="7"/>
      <c r="D724" s="5"/>
      <c r="E724" s="7"/>
      <c r="F724" s="7"/>
      <c r="G724" s="7"/>
      <c r="AK724" s="5"/>
      <c r="AQ724" s="5"/>
    </row>
    <row r="725" spans="2:43" x14ac:dyDescent="0.35">
      <c r="B725" s="5"/>
      <c r="C725" s="7"/>
      <c r="D725" s="5"/>
      <c r="E725" s="7"/>
      <c r="F725" s="7"/>
      <c r="G725" s="7"/>
      <c r="AK725" s="5"/>
      <c r="AQ725" s="5"/>
    </row>
    <row r="726" spans="2:43" x14ac:dyDescent="0.35">
      <c r="B726" s="5"/>
      <c r="C726" s="7"/>
      <c r="D726" s="5"/>
      <c r="E726" s="7"/>
      <c r="F726" s="7"/>
      <c r="G726" s="7"/>
      <c r="AK726" s="5"/>
      <c r="AQ726" s="5"/>
    </row>
    <row r="727" spans="2:43" x14ac:dyDescent="0.35">
      <c r="B727" s="5"/>
      <c r="C727" s="7"/>
      <c r="D727" s="5"/>
      <c r="E727" s="7"/>
      <c r="F727" s="7"/>
      <c r="G727" s="7"/>
      <c r="AK727" s="5"/>
      <c r="AQ727" s="5"/>
    </row>
    <row r="728" spans="2:43" x14ac:dyDescent="0.35">
      <c r="B728" s="5"/>
      <c r="C728" s="7"/>
      <c r="D728" s="5"/>
      <c r="E728" s="7"/>
      <c r="F728" s="7"/>
      <c r="G728" s="7"/>
      <c r="AK728" s="5"/>
      <c r="AQ728" s="5"/>
    </row>
    <row r="729" spans="2:43" x14ac:dyDescent="0.35">
      <c r="B729" s="5"/>
      <c r="C729" s="7"/>
      <c r="D729" s="5"/>
      <c r="E729" s="7"/>
      <c r="F729" s="7"/>
      <c r="G729" s="7"/>
      <c r="AK729" s="5"/>
      <c r="AQ729" s="5"/>
    </row>
    <row r="730" spans="2:43" x14ac:dyDescent="0.35">
      <c r="B730" s="5"/>
      <c r="C730" s="7"/>
      <c r="D730" s="5"/>
      <c r="E730" s="7"/>
      <c r="F730" s="7"/>
      <c r="G730" s="7"/>
      <c r="AK730" s="5"/>
      <c r="AQ730" s="5"/>
    </row>
    <row r="731" spans="2:43" x14ac:dyDescent="0.35">
      <c r="B731" s="5"/>
      <c r="C731" s="7"/>
      <c r="D731" s="5"/>
      <c r="E731" s="7"/>
      <c r="F731" s="7"/>
      <c r="G731" s="7"/>
      <c r="AK731" s="5"/>
      <c r="AQ731" s="5"/>
    </row>
    <row r="732" spans="2:43" x14ac:dyDescent="0.35">
      <c r="B732" s="5"/>
      <c r="C732" s="7"/>
      <c r="D732" s="5"/>
      <c r="E732" s="7"/>
      <c r="F732" s="7"/>
      <c r="G732" s="7"/>
      <c r="AK732" s="5"/>
      <c r="AQ732" s="5"/>
    </row>
    <row r="733" spans="2:43" x14ac:dyDescent="0.35">
      <c r="B733" s="5"/>
      <c r="C733" s="7"/>
      <c r="D733" s="5"/>
      <c r="E733" s="7"/>
      <c r="F733" s="7"/>
      <c r="G733" s="7"/>
      <c r="AK733" s="5"/>
      <c r="AQ733" s="5"/>
    </row>
    <row r="734" spans="2:43" x14ac:dyDescent="0.35">
      <c r="B734" s="5"/>
      <c r="C734" s="7"/>
      <c r="D734" s="5"/>
      <c r="E734" s="7"/>
      <c r="F734" s="7"/>
      <c r="G734" s="7"/>
      <c r="AK734" s="5"/>
      <c r="AQ734" s="5"/>
    </row>
    <row r="735" spans="2:43" x14ac:dyDescent="0.35">
      <c r="B735" s="5"/>
      <c r="C735" s="7"/>
      <c r="D735" s="5"/>
      <c r="E735" s="7"/>
      <c r="F735" s="7"/>
      <c r="G735" s="7"/>
      <c r="AK735" s="5"/>
      <c r="AQ735" s="5"/>
    </row>
    <row r="736" spans="2:43" x14ac:dyDescent="0.35">
      <c r="B736" s="5"/>
      <c r="C736" s="7"/>
      <c r="D736" s="5"/>
      <c r="E736" s="7"/>
      <c r="F736" s="7"/>
      <c r="G736" s="7"/>
      <c r="AK736" s="5"/>
      <c r="AQ736" s="5"/>
    </row>
    <row r="737" spans="2:43" x14ac:dyDescent="0.35">
      <c r="B737" s="5"/>
      <c r="C737" s="7"/>
      <c r="D737" s="5"/>
      <c r="E737" s="7"/>
      <c r="F737" s="7"/>
      <c r="G737" s="7"/>
      <c r="AK737" s="5"/>
      <c r="AQ737" s="5"/>
    </row>
    <row r="738" spans="2:43" x14ac:dyDescent="0.35">
      <c r="B738" s="5"/>
      <c r="C738" s="7"/>
      <c r="D738" s="5"/>
      <c r="E738" s="7"/>
      <c r="F738" s="7"/>
      <c r="G738" s="7"/>
      <c r="AK738" s="5"/>
      <c r="AQ738" s="5"/>
    </row>
    <row r="739" spans="2:43" x14ac:dyDescent="0.35">
      <c r="B739" s="5"/>
      <c r="C739" s="7"/>
      <c r="D739" s="5"/>
      <c r="E739" s="7"/>
      <c r="F739" s="7"/>
      <c r="G739" s="7"/>
      <c r="AK739" s="5"/>
      <c r="AQ739" s="5"/>
    </row>
    <row r="740" spans="2:43" x14ac:dyDescent="0.35">
      <c r="B740" s="5"/>
      <c r="C740" s="7"/>
      <c r="D740" s="5"/>
      <c r="E740" s="7"/>
      <c r="F740" s="7"/>
      <c r="G740" s="7"/>
      <c r="AK740" s="5"/>
      <c r="AQ740" s="5"/>
    </row>
    <row r="741" spans="2:43" x14ac:dyDescent="0.35">
      <c r="B741" s="5"/>
      <c r="C741" s="7"/>
      <c r="D741" s="5"/>
      <c r="E741" s="7"/>
      <c r="F741" s="7"/>
      <c r="G741" s="7"/>
      <c r="AK741" s="5"/>
      <c r="AQ741" s="5"/>
    </row>
    <row r="742" spans="2:43" x14ac:dyDescent="0.35">
      <c r="B742" s="5"/>
      <c r="C742" s="7"/>
      <c r="D742" s="5"/>
      <c r="E742" s="7"/>
      <c r="F742" s="7"/>
      <c r="G742" s="7"/>
      <c r="AK742" s="5"/>
      <c r="AQ742" s="5"/>
    </row>
    <row r="743" spans="2:43" x14ac:dyDescent="0.35">
      <c r="B743" s="5"/>
      <c r="C743" s="7"/>
      <c r="D743" s="5"/>
      <c r="E743" s="7"/>
      <c r="F743" s="7"/>
      <c r="G743" s="7"/>
      <c r="AK743" s="5"/>
      <c r="AQ743" s="5"/>
    </row>
    <row r="744" spans="2:43" x14ac:dyDescent="0.35">
      <c r="B744" s="5"/>
      <c r="C744" s="7"/>
      <c r="D744" s="5"/>
      <c r="E744" s="7"/>
      <c r="F744" s="7"/>
      <c r="G744" s="7"/>
      <c r="AK744" s="5"/>
      <c r="AQ744" s="5"/>
    </row>
    <row r="745" spans="2:43" x14ac:dyDescent="0.35">
      <c r="B745" s="5"/>
      <c r="C745" s="7"/>
      <c r="D745" s="5"/>
      <c r="E745" s="7"/>
      <c r="F745" s="7"/>
      <c r="G745" s="7"/>
      <c r="AK745" s="5"/>
      <c r="AQ745" s="5"/>
    </row>
    <row r="746" spans="2:43" x14ac:dyDescent="0.35">
      <c r="B746" s="5"/>
      <c r="C746" s="7"/>
      <c r="D746" s="5"/>
      <c r="E746" s="7"/>
      <c r="F746" s="7"/>
      <c r="G746" s="7"/>
      <c r="AK746" s="5"/>
      <c r="AQ746" s="5"/>
    </row>
    <row r="747" spans="2:43" x14ac:dyDescent="0.35">
      <c r="B747" s="5"/>
      <c r="C747" s="7"/>
      <c r="D747" s="5"/>
      <c r="E747" s="7"/>
      <c r="F747" s="7"/>
      <c r="G747" s="7"/>
      <c r="AK747" s="5"/>
      <c r="AQ747" s="5"/>
    </row>
    <row r="748" spans="2:43" x14ac:dyDescent="0.35">
      <c r="B748" s="5"/>
      <c r="C748" s="7"/>
      <c r="D748" s="5"/>
      <c r="E748" s="7"/>
      <c r="F748" s="7"/>
      <c r="G748" s="7"/>
      <c r="AK748" s="5"/>
      <c r="AQ748" s="5"/>
    </row>
    <row r="749" spans="2:43" x14ac:dyDescent="0.35">
      <c r="B749" s="5"/>
      <c r="C749" s="7"/>
      <c r="D749" s="5"/>
      <c r="E749" s="7"/>
      <c r="F749" s="7"/>
      <c r="G749" s="7"/>
      <c r="AK749" s="5"/>
      <c r="AQ749" s="5"/>
    </row>
    <row r="750" spans="2:43" x14ac:dyDescent="0.35">
      <c r="B750" s="5"/>
      <c r="C750" s="7"/>
      <c r="D750" s="5"/>
      <c r="E750" s="7"/>
      <c r="F750" s="7"/>
      <c r="G750" s="7"/>
      <c r="AK750" s="5"/>
      <c r="AQ750" s="5"/>
    </row>
    <row r="751" spans="2:43" x14ac:dyDescent="0.35">
      <c r="B751" s="5"/>
      <c r="C751" s="7"/>
      <c r="D751" s="5"/>
      <c r="E751" s="7"/>
      <c r="F751" s="7"/>
      <c r="G751" s="7"/>
      <c r="AK751" s="5"/>
      <c r="AQ751" s="5"/>
    </row>
    <row r="752" spans="2:43" x14ac:dyDescent="0.35">
      <c r="B752" s="5"/>
      <c r="C752" s="7"/>
      <c r="D752" s="5"/>
      <c r="E752" s="7"/>
      <c r="F752" s="7"/>
      <c r="G752" s="7"/>
      <c r="AK752" s="5"/>
      <c r="AQ752" s="5"/>
    </row>
    <row r="753" spans="2:43" x14ac:dyDescent="0.35">
      <c r="B753" s="5"/>
      <c r="C753" s="7"/>
      <c r="D753" s="5"/>
      <c r="E753" s="7"/>
      <c r="F753" s="7"/>
      <c r="G753" s="7"/>
      <c r="AK753" s="5"/>
      <c r="AQ753" s="5"/>
    </row>
    <row r="754" spans="2:43" x14ac:dyDescent="0.35">
      <c r="B754" s="5"/>
      <c r="C754" s="7"/>
      <c r="D754" s="5"/>
      <c r="E754" s="7"/>
      <c r="F754" s="7"/>
      <c r="G754" s="7"/>
      <c r="AK754" s="5"/>
      <c r="AQ754" s="5"/>
    </row>
    <row r="755" spans="2:43" x14ac:dyDescent="0.35">
      <c r="B755" s="5"/>
      <c r="C755" s="7"/>
      <c r="D755" s="5"/>
      <c r="E755" s="7"/>
      <c r="F755" s="7"/>
      <c r="G755" s="7"/>
      <c r="AK755" s="5"/>
      <c r="AQ755" s="5"/>
    </row>
    <row r="756" spans="2:43" x14ac:dyDescent="0.35">
      <c r="B756" s="5"/>
      <c r="C756" s="7"/>
      <c r="D756" s="5"/>
      <c r="E756" s="7"/>
      <c r="F756" s="7"/>
      <c r="G756" s="7"/>
      <c r="AK756" s="5"/>
      <c r="AQ756" s="5"/>
    </row>
    <row r="757" spans="2:43" x14ac:dyDescent="0.35">
      <c r="B757" s="5"/>
      <c r="C757" s="7"/>
      <c r="D757" s="5"/>
      <c r="E757" s="7"/>
      <c r="F757" s="7"/>
      <c r="G757" s="7"/>
      <c r="AK757" s="5"/>
      <c r="AQ757" s="5"/>
    </row>
    <row r="758" spans="2:43" x14ac:dyDescent="0.35">
      <c r="B758" s="5"/>
      <c r="C758" s="7"/>
      <c r="D758" s="5"/>
      <c r="E758" s="7"/>
      <c r="F758" s="7"/>
      <c r="G758" s="7"/>
      <c r="AK758" s="5"/>
      <c r="AQ758" s="5"/>
    </row>
    <row r="759" spans="2:43" x14ac:dyDescent="0.35">
      <c r="B759" s="5"/>
      <c r="C759" s="7"/>
      <c r="D759" s="5"/>
      <c r="E759" s="7"/>
      <c r="F759" s="7"/>
      <c r="G759" s="7"/>
      <c r="AK759" s="5"/>
      <c r="AQ759" s="5"/>
    </row>
    <row r="760" spans="2:43" x14ac:dyDescent="0.35">
      <c r="B760" s="5"/>
      <c r="C760" s="7"/>
      <c r="D760" s="5"/>
      <c r="E760" s="7"/>
      <c r="F760" s="7"/>
      <c r="G760" s="7"/>
      <c r="AK760" s="5"/>
      <c r="AQ760" s="5"/>
    </row>
    <row r="761" spans="2:43" x14ac:dyDescent="0.35">
      <c r="B761" s="5"/>
      <c r="C761" s="7"/>
      <c r="D761" s="5"/>
      <c r="E761" s="7"/>
      <c r="F761" s="7"/>
      <c r="G761" s="7"/>
      <c r="AK761" s="5"/>
      <c r="AQ761" s="5"/>
    </row>
    <row r="762" spans="2:43" x14ac:dyDescent="0.35">
      <c r="B762" s="5"/>
      <c r="C762" s="7"/>
      <c r="D762" s="5"/>
      <c r="E762" s="7"/>
      <c r="F762" s="7"/>
      <c r="G762" s="7"/>
      <c r="AK762" s="5"/>
      <c r="AQ762" s="5"/>
    </row>
    <row r="763" spans="2:43" x14ac:dyDescent="0.35">
      <c r="B763" s="5"/>
      <c r="C763" s="7"/>
      <c r="D763" s="5"/>
      <c r="E763" s="7"/>
      <c r="F763" s="7"/>
      <c r="G763" s="7"/>
      <c r="AK763" s="5"/>
      <c r="AQ763" s="5"/>
    </row>
    <row r="764" spans="2:43" x14ac:dyDescent="0.35">
      <c r="B764" s="5"/>
      <c r="C764" s="7"/>
      <c r="D764" s="5"/>
      <c r="E764" s="7"/>
      <c r="F764" s="7"/>
      <c r="G764" s="7"/>
      <c r="AK764" s="5"/>
      <c r="AQ764" s="5"/>
    </row>
    <row r="765" spans="2:43" x14ac:dyDescent="0.35">
      <c r="B765" s="5"/>
      <c r="C765" s="7"/>
      <c r="D765" s="5"/>
      <c r="E765" s="7"/>
      <c r="F765" s="7"/>
      <c r="G765" s="7"/>
      <c r="AK765" s="5"/>
      <c r="AQ765" s="5"/>
    </row>
    <row r="766" spans="2:43" x14ac:dyDescent="0.35">
      <c r="B766" s="5"/>
      <c r="C766" s="7"/>
      <c r="D766" s="5"/>
      <c r="E766" s="7"/>
      <c r="F766" s="7"/>
      <c r="G766" s="7"/>
      <c r="AK766" s="5"/>
      <c r="AQ766" s="5"/>
    </row>
    <row r="767" spans="2:43" x14ac:dyDescent="0.35">
      <c r="B767" s="5"/>
      <c r="C767" s="7"/>
      <c r="D767" s="5"/>
      <c r="E767" s="7"/>
      <c r="F767" s="7"/>
      <c r="G767" s="7"/>
      <c r="AK767" s="5"/>
      <c r="AQ767" s="5"/>
    </row>
    <row r="768" spans="2:43" x14ac:dyDescent="0.35">
      <c r="B768" s="5"/>
      <c r="C768" s="7"/>
      <c r="D768" s="5"/>
      <c r="E768" s="7"/>
      <c r="F768" s="7"/>
      <c r="G768" s="7"/>
      <c r="AK768" s="5"/>
      <c r="AQ768" s="5"/>
    </row>
    <row r="769" spans="2:43" x14ac:dyDescent="0.35">
      <c r="B769" s="5"/>
      <c r="C769" s="7"/>
      <c r="D769" s="5"/>
      <c r="E769" s="7"/>
      <c r="F769" s="7"/>
      <c r="G769" s="7"/>
      <c r="AK769" s="5"/>
      <c r="AQ769" s="5"/>
    </row>
    <row r="770" spans="2:43" x14ac:dyDescent="0.35">
      <c r="B770" s="5"/>
      <c r="C770" s="7"/>
      <c r="D770" s="5"/>
      <c r="E770" s="7"/>
      <c r="F770" s="7"/>
      <c r="G770" s="7"/>
      <c r="AK770" s="5"/>
      <c r="AQ770" s="5"/>
    </row>
    <row r="771" spans="2:43" x14ac:dyDescent="0.35">
      <c r="B771" s="5"/>
      <c r="C771" s="7"/>
      <c r="D771" s="5"/>
      <c r="E771" s="7"/>
      <c r="F771" s="7"/>
      <c r="G771" s="7"/>
      <c r="AK771" s="5"/>
      <c r="AQ771" s="5"/>
    </row>
    <row r="772" spans="2:43" x14ac:dyDescent="0.35">
      <c r="B772" s="5"/>
      <c r="C772" s="7"/>
      <c r="D772" s="5"/>
      <c r="E772" s="7"/>
      <c r="F772" s="7"/>
      <c r="G772" s="7"/>
      <c r="AK772" s="5"/>
      <c r="AQ772" s="5"/>
    </row>
    <row r="773" spans="2:43" x14ac:dyDescent="0.35">
      <c r="B773" s="5"/>
      <c r="C773" s="7"/>
      <c r="D773" s="5"/>
      <c r="E773" s="7"/>
      <c r="F773" s="7"/>
      <c r="G773" s="7"/>
      <c r="AK773" s="5"/>
      <c r="AQ773" s="5"/>
    </row>
    <row r="774" spans="2:43" x14ac:dyDescent="0.35">
      <c r="B774" s="5"/>
      <c r="C774" s="7"/>
      <c r="D774" s="5"/>
      <c r="E774" s="7"/>
      <c r="F774" s="7"/>
      <c r="G774" s="7"/>
      <c r="AK774" s="5"/>
      <c r="AQ774" s="5"/>
    </row>
    <row r="775" spans="2:43" x14ac:dyDescent="0.35">
      <c r="B775" s="5"/>
      <c r="C775" s="7"/>
      <c r="D775" s="5"/>
      <c r="E775" s="7"/>
      <c r="F775" s="7"/>
      <c r="G775" s="7"/>
      <c r="AK775" s="5"/>
      <c r="AQ775" s="5"/>
    </row>
    <row r="776" spans="2:43" x14ac:dyDescent="0.35">
      <c r="B776" s="5"/>
      <c r="C776" s="7"/>
      <c r="D776" s="5"/>
      <c r="E776" s="7"/>
      <c r="F776" s="7"/>
      <c r="G776" s="7"/>
      <c r="AK776" s="5"/>
      <c r="AQ776" s="5"/>
    </row>
    <row r="777" spans="2:43" x14ac:dyDescent="0.35">
      <c r="B777" s="5"/>
      <c r="C777" s="7"/>
      <c r="D777" s="5"/>
      <c r="E777" s="7"/>
      <c r="F777" s="7"/>
      <c r="G777" s="7"/>
      <c r="AK777" s="5"/>
      <c r="AQ777" s="5"/>
    </row>
    <row r="778" spans="2:43" x14ac:dyDescent="0.35">
      <c r="B778" s="5"/>
      <c r="C778" s="7"/>
      <c r="D778" s="5"/>
      <c r="E778" s="7"/>
      <c r="F778" s="7"/>
      <c r="G778" s="7"/>
      <c r="AK778" s="5"/>
      <c r="AQ778" s="5"/>
    </row>
    <row r="779" spans="2:43" x14ac:dyDescent="0.35">
      <c r="B779" s="5"/>
      <c r="C779" s="7"/>
      <c r="D779" s="5"/>
      <c r="E779" s="7"/>
      <c r="F779" s="7"/>
      <c r="G779" s="7"/>
      <c r="AK779" s="5"/>
      <c r="AQ779" s="5"/>
    </row>
    <row r="780" spans="2:43" x14ac:dyDescent="0.35">
      <c r="B780" s="5"/>
      <c r="C780" s="7"/>
      <c r="D780" s="5"/>
      <c r="E780" s="7"/>
      <c r="F780" s="7"/>
      <c r="G780" s="7"/>
      <c r="AK780" s="5"/>
      <c r="AQ780" s="5"/>
    </row>
    <row r="781" spans="2:43" x14ac:dyDescent="0.35">
      <c r="B781" s="5"/>
      <c r="C781" s="7"/>
      <c r="D781" s="5"/>
      <c r="E781" s="7"/>
      <c r="F781" s="7"/>
      <c r="G781" s="7"/>
      <c r="AK781" s="5"/>
      <c r="AQ781" s="5"/>
    </row>
    <row r="782" spans="2:43" x14ac:dyDescent="0.35">
      <c r="B782" s="5"/>
      <c r="C782" s="7"/>
      <c r="D782" s="5"/>
      <c r="E782" s="7"/>
      <c r="F782" s="7"/>
      <c r="G782" s="7"/>
      <c r="AK782" s="5"/>
      <c r="AQ782" s="5"/>
    </row>
    <row r="783" spans="2:43" x14ac:dyDescent="0.35">
      <c r="B783" s="5"/>
      <c r="C783" s="7"/>
      <c r="D783" s="5"/>
      <c r="E783" s="7"/>
      <c r="F783" s="7"/>
      <c r="G783" s="7"/>
      <c r="AK783" s="5"/>
      <c r="AQ783" s="5"/>
    </row>
    <row r="784" spans="2:43" x14ac:dyDescent="0.35">
      <c r="B784" s="5"/>
      <c r="C784" s="7"/>
      <c r="D784" s="5"/>
      <c r="E784" s="7"/>
      <c r="F784" s="7"/>
      <c r="G784" s="7"/>
      <c r="AK784" s="5"/>
      <c r="AQ784" s="5"/>
    </row>
    <row r="785" spans="2:43" x14ac:dyDescent="0.35">
      <c r="B785" s="5"/>
      <c r="C785" s="7"/>
      <c r="D785" s="5"/>
      <c r="E785" s="7"/>
      <c r="F785" s="7"/>
      <c r="G785" s="7"/>
      <c r="AK785" s="5"/>
      <c r="AQ785" s="5"/>
    </row>
    <row r="786" spans="2:43" x14ac:dyDescent="0.35">
      <c r="B786" s="5"/>
      <c r="C786" s="7"/>
      <c r="D786" s="5"/>
      <c r="E786" s="7"/>
      <c r="F786" s="7"/>
      <c r="G786" s="7"/>
      <c r="AK786" s="5"/>
      <c r="AQ786" s="5"/>
    </row>
    <row r="787" spans="2:43" x14ac:dyDescent="0.35">
      <c r="B787" s="5"/>
      <c r="C787" s="7"/>
      <c r="D787" s="5"/>
      <c r="E787" s="7"/>
      <c r="F787" s="7"/>
      <c r="G787" s="7"/>
      <c r="AK787" s="5"/>
      <c r="AQ787" s="5"/>
    </row>
    <row r="788" spans="2:43" x14ac:dyDescent="0.35">
      <c r="B788" s="5"/>
      <c r="C788" s="7"/>
      <c r="D788" s="5"/>
      <c r="E788" s="7"/>
      <c r="F788" s="7"/>
      <c r="G788" s="7"/>
      <c r="AK788" s="5"/>
      <c r="AQ788" s="5"/>
    </row>
    <row r="789" spans="2:43" x14ac:dyDescent="0.35">
      <c r="B789" s="5"/>
      <c r="C789" s="7"/>
      <c r="D789" s="5"/>
      <c r="E789" s="7"/>
      <c r="F789" s="7"/>
      <c r="G789" s="7"/>
      <c r="AK789" s="5"/>
      <c r="AQ789" s="5"/>
    </row>
    <row r="790" spans="2:43" x14ac:dyDescent="0.35">
      <c r="B790" s="5"/>
      <c r="C790" s="7"/>
      <c r="D790" s="5"/>
      <c r="E790" s="7"/>
      <c r="F790" s="7"/>
      <c r="G790" s="7"/>
      <c r="AK790" s="5"/>
      <c r="AQ790" s="5"/>
    </row>
    <row r="791" spans="2:43" x14ac:dyDescent="0.35">
      <c r="B791" s="5"/>
      <c r="C791" s="7"/>
      <c r="D791" s="5"/>
      <c r="E791" s="7"/>
      <c r="F791" s="7"/>
      <c r="G791" s="7"/>
      <c r="AK791" s="5"/>
      <c r="AQ791" s="5"/>
    </row>
    <row r="792" spans="2:43" x14ac:dyDescent="0.35">
      <c r="B792" s="5"/>
      <c r="C792" s="7"/>
      <c r="D792" s="5"/>
      <c r="E792" s="7"/>
      <c r="F792" s="7"/>
      <c r="G792" s="7"/>
      <c r="AK792" s="5"/>
      <c r="AQ792" s="5"/>
    </row>
    <row r="793" spans="2:43" x14ac:dyDescent="0.35">
      <c r="B793" s="5"/>
      <c r="C793" s="7"/>
      <c r="D793" s="5"/>
      <c r="E793" s="7"/>
      <c r="F793" s="7"/>
      <c r="G793" s="7"/>
      <c r="AK793" s="5"/>
      <c r="AQ793" s="5"/>
    </row>
    <row r="794" spans="2:43" x14ac:dyDescent="0.35">
      <c r="B794" s="5"/>
      <c r="C794" s="7"/>
      <c r="D794" s="5"/>
      <c r="E794" s="7"/>
      <c r="F794" s="7"/>
      <c r="G794" s="7"/>
      <c r="AK794" s="5"/>
      <c r="AQ794" s="5"/>
    </row>
    <row r="795" spans="2:43" x14ac:dyDescent="0.35">
      <c r="B795" s="5"/>
      <c r="C795" s="7"/>
      <c r="D795" s="5"/>
      <c r="E795" s="7"/>
      <c r="F795" s="7"/>
      <c r="G795" s="7"/>
      <c r="AK795" s="5"/>
      <c r="AQ795" s="5"/>
    </row>
    <row r="796" spans="2:43" x14ac:dyDescent="0.35">
      <c r="B796" s="5"/>
      <c r="C796" s="7"/>
      <c r="D796" s="5"/>
      <c r="E796" s="7"/>
      <c r="F796" s="7"/>
      <c r="G796" s="7"/>
      <c r="AK796" s="5"/>
      <c r="AQ796" s="5"/>
    </row>
    <row r="797" spans="2:43" x14ac:dyDescent="0.35">
      <c r="B797" s="5"/>
      <c r="C797" s="7"/>
      <c r="D797" s="5"/>
      <c r="E797" s="7"/>
      <c r="F797" s="7"/>
      <c r="G797" s="7"/>
      <c r="AK797" s="5"/>
      <c r="AQ797" s="5"/>
    </row>
    <row r="798" spans="2:43" x14ac:dyDescent="0.35">
      <c r="B798" s="5"/>
      <c r="C798" s="7"/>
      <c r="D798" s="5"/>
      <c r="E798" s="7"/>
      <c r="F798" s="7"/>
      <c r="G798" s="7"/>
      <c r="AK798" s="5"/>
      <c r="AQ798" s="5"/>
    </row>
    <row r="799" spans="2:43" x14ac:dyDescent="0.35">
      <c r="B799" s="5"/>
      <c r="C799" s="7"/>
      <c r="D799" s="5"/>
      <c r="E799" s="7"/>
      <c r="F799" s="7"/>
      <c r="G799" s="7"/>
      <c r="AK799" s="5"/>
      <c r="AQ799" s="5"/>
    </row>
    <row r="800" spans="2:43" x14ac:dyDescent="0.35">
      <c r="B800" s="5"/>
      <c r="C800" s="7"/>
      <c r="D800" s="5"/>
      <c r="E800" s="7"/>
      <c r="F800" s="7"/>
      <c r="G800" s="7"/>
      <c r="AK800" s="5"/>
      <c r="AQ800" s="5"/>
    </row>
    <row r="801" spans="2:43" x14ac:dyDescent="0.35">
      <c r="B801" s="5"/>
      <c r="C801" s="7"/>
      <c r="D801" s="5"/>
      <c r="E801" s="7"/>
      <c r="F801" s="7"/>
      <c r="G801" s="7"/>
      <c r="AK801" s="5"/>
      <c r="AQ801" s="5"/>
    </row>
    <row r="802" spans="2:43" x14ac:dyDescent="0.35">
      <c r="B802" s="5"/>
      <c r="C802" s="7"/>
      <c r="D802" s="5"/>
      <c r="E802" s="7"/>
      <c r="F802" s="7"/>
      <c r="G802" s="7"/>
      <c r="AK802" s="5"/>
      <c r="AQ802" s="5"/>
    </row>
    <row r="803" spans="2:43" x14ac:dyDescent="0.35">
      <c r="B803" s="5"/>
      <c r="C803" s="7"/>
      <c r="D803" s="5"/>
      <c r="E803" s="7"/>
      <c r="F803" s="7"/>
      <c r="G803" s="7"/>
      <c r="AK803" s="5"/>
      <c r="AQ803" s="5"/>
    </row>
    <row r="804" spans="2:43" x14ac:dyDescent="0.35">
      <c r="B804" s="5"/>
      <c r="C804" s="7"/>
      <c r="D804" s="5"/>
      <c r="E804" s="7"/>
      <c r="F804" s="7"/>
      <c r="G804" s="7"/>
      <c r="AK804" s="5"/>
      <c r="AQ804" s="5"/>
    </row>
    <row r="805" spans="2:43" x14ac:dyDescent="0.35">
      <c r="B805" s="5"/>
      <c r="C805" s="7"/>
      <c r="D805" s="5"/>
      <c r="E805" s="7"/>
      <c r="F805" s="7"/>
      <c r="G805" s="7"/>
      <c r="AK805" s="5"/>
      <c r="AQ805" s="5"/>
    </row>
    <row r="806" spans="2:43" x14ac:dyDescent="0.35">
      <c r="B806" s="5"/>
      <c r="C806" s="7"/>
      <c r="D806" s="5"/>
      <c r="E806" s="7"/>
      <c r="F806" s="7"/>
      <c r="G806" s="7"/>
      <c r="AK806" s="5"/>
      <c r="AQ806" s="5"/>
    </row>
    <row r="807" spans="2:43" x14ac:dyDescent="0.35">
      <c r="B807" s="5"/>
      <c r="C807" s="7"/>
      <c r="D807" s="5"/>
      <c r="E807" s="7"/>
      <c r="F807" s="7"/>
      <c r="G807" s="7"/>
      <c r="AK807" s="5"/>
      <c r="AQ807" s="5"/>
    </row>
    <row r="808" spans="2:43" x14ac:dyDescent="0.35">
      <c r="B808" s="5"/>
      <c r="C808" s="7"/>
      <c r="D808" s="5"/>
      <c r="E808" s="7"/>
      <c r="F808" s="7"/>
      <c r="G808" s="7"/>
      <c r="AK808" s="5"/>
      <c r="AQ808" s="5"/>
    </row>
    <row r="809" spans="2:43" x14ac:dyDescent="0.35">
      <c r="B809" s="5"/>
      <c r="C809" s="7"/>
      <c r="D809" s="5"/>
      <c r="E809" s="7"/>
      <c r="F809" s="7"/>
      <c r="G809" s="7"/>
      <c r="AK809" s="5"/>
      <c r="AQ809" s="5"/>
    </row>
    <row r="810" spans="2:43" x14ac:dyDescent="0.35">
      <c r="B810" s="5"/>
      <c r="C810" s="7"/>
      <c r="D810" s="5"/>
      <c r="E810" s="7"/>
      <c r="F810" s="7"/>
      <c r="G810" s="7"/>
      <c r="AK810" s="5"/>
      <c r="AQ810" s="5"/>
    </row>
    <row r="811" spans="2:43" x14ac:dyDescent="0.35">
      <c r="B811" s="5"/>
      <c r="C811" s="7"/>
      <c r="D811" s="5"/>
      <c r="E811" s="7"/>
      <c r="F811" s="7"/>
      <c r="G811" s="7"/>
      <c r="AK811" s="5"/>
      <c r="AQ811" s="5"/>
    </row>
    <row r="812" spans="2:43" x14ac:dyDescent="0.35">
      <c r="B812" s="5"/>
      <c r="C812" s="7"/>
      <c r="D812" s="5"/>
      <c r="E812" s="7"/>
      <c r="F812" s="7"/>
      <c r="G812" s="7"/>
      <c r="AK812" s="5"/>
      <c r="AQ812" s="5"/>
    </row>
    <row r="813" spans="2:43" x14ac:dyDescent="0.35">
      <c r="B813" s="5"/>
      <c r="C813" s="7"/>
      <c r="D813" s="5"/>
      <c r="E813" s="7"/>
      <c r="F813" s="7"/>
      <c r="G813" s="7"/>
      <c r="AK813" s="5"/>
      <c r="AQ813" s="5"/>
    </row>
    <row r="814" spans="2:43" x14ac:dyDescent="0.35">
      <c r="B814" s="5"/>
      <c r="C814" s="7"/>
      <c r="D814" s="5"/>
      <c r="E814" s="7"/>
      <c r="F814" s="7"/>
      <c r="G814" s="7"/>
      <c r="AK814" s="5"/>
      <c r="AQ814" s="5"/>
    </row>
    <row r="815" spans="2:43" x14ac:dyDescent="0.35">
      <c r="B815" s="5"/>
      <c r="C815" s="7"/>
      <c r="D815" s="5"/>
      <c r="E815" s="7"/>
      <c r="F815" s="7"/>
      <c r="G815" s="7"/>
      <c r="AK815" s="5"/>
      <c r="AQ815" s="5"/>
    </row>
    <row r="816" spans="2:43" x14ac:dyDescent="0.35">
      <c r="B816" s="5"/>
      <c r="C816" s="7"/>
      <c r="D816" s="5"/>
      <c r="E816" s="7"/>
      <c r="F816" s="7"/>
      <c r="G816" s="7"/>
      <c r="AK816" s="5"/>
      <c r="AQ816" s="5"/>
    </row>
    <row r="817" spans="2:43" x14ac:dyDescent="0.35">
      <c r="B817" s="5"/>
      <c r="C817" s="7"/>
      <c r="D817" s="5"/>
      <c r="E817" s="7"/>
      <c r="F817" s="7"/>
      <c r="G817" s="7"/>
      <c r="AK817" s="5"/>
      <c r="AQ817" s="5"/>
    </row>
    <row r="818" spans="2:43" x14ac:dyDescent="0.35">
      <c r="B818" s="5"/>
      <c r="C818" s="7"/>
      <c r="D818" s="5"/>
      <c r="E818" s="7"/>
      <c r="F818" s="7"/>
      <c r="G818" s="7"/>
      <c r="AK818" s="5"/>
      <c r="AQ818" s="5"/>
    </row>
    <row r="819" spans="2:43" x14ac:dyDescent="0.35">
      <c r="B819" s="5"/>
      <c r="C819" s="7"/>
      <c r="D819" s="5"/>
      <c r="E819" s="7"/>
      <c r="F819" s="7"/>
      <c r="G819" s="7"/>
      <c r="AK819" s="5"/>
      <c r="AQ819" s="5"/>
    </row>
    <row r="820" spans="2:43" x14ac:dyDescent="0.35">
      <c r="B820" s="5"/>
      <c r="C820" s="7"/>
      <c r="D820" s="5"/>
      <c r="E820" s="7"/>
      <c r="F820" s="7"/>
      <c r="G820" s="7"/>
      <c r="AK820" s="5"/>
      <c r="AQ820" s="5"/>
    </row>
    <row r="821" spans="2:43" x14ac:dyDescent="0.35">
      <c r="B821" s="5"/>
      <c r="C821" s="7"/>
      <c r="D821" s="5"/>
      <c r="E821" s="7"/>
      <c r="F821" s="7"/>
      <c r="G821" s="7"/>
      <c r="AK821" s="5"/>
      <c r="AQ821" s="5"/>
    </row>
    <row r="822" spans="2:43" x14ac:dyDescent="0.35">
      <c r="B822" s="5"/>
      <c r="C822" s="7"/>
      <c r="D822" s="5"/>
      <c r="E822" s="7"/>
      <c r="F822" s="7"/>
      <c r="G822" s="7"/>
      <c r="AK822" s="5"/>
      <c r="AQ822" s="5"/>
    </row>
    <row r="823" spans="2:43" x14ac:dyDescent="0.35">
      <c r="B823" s="5"/>
      <c r="C823" s="7"/>
      <c r="D823" s="5"/>
      <c r="E823" s="7"/>
      <c r="F823" s="7"/>
      <c r="G823" s="7"/>
      <c r="AK823" s="5"/>
      <c r="AQ823" s="5"/>
    </row>
    <row r="824" spans="2:43" x14ac:dyDescent="0.35">
      <c r="B824" s="5"/>
      <c r="C824" s="7"/>
      <c r="D824" s="5"/>
      <c r="E824" s="7"/>
      <c r="F824" s="7"/>
      <c r="G824" s="7"/>
      <c r="AK824" s="5"/>
      <c r="AQ824" s="5"/>
    </row>
    <row r="825" spans="2:43" x14ac:dyDescent="0.35">
      <c r="B825" s="5"/>
      <c r="C825" s="7"/>
      <c r="D825" s="5"/>
      <c r="E825" s="7"/>
      <c r="F825" s="7"/>
      <c r="G825" s="7"/>
      <c r="AK825" s="5"/>
      <c r="AQ825" s="5"/>
    </row>
    <row r="826" spans="2:43" x14ac:dyDescent="0.35">
      <c r="B826" s="5"/>
      <c r="C826" s="7"/>
      <c r="D826" s="5"/>
      <c r="E826" s="7"/>
      <c r="F826" s="7"/>
      <c r="G826" s="7"/>
      <c r="AK826" s="5"/>
      <c r="AQ826" s="5"/>
    </row>
    <row r="827" spans="2:43" x14ac:dyDescent="0.35">
      <c r="B827" s="5"/>
      <c r="C827" s="7"/>
      <c r="D827" s="5"/>
      <c r="E827" s="7"/>
      <c r="F827" s="7"/>
      <c r="G827" s="7"/>
      <c r="AK827" s="5"/>
      <c r="AQ827" s="5"/>
    </row>
    <row r="828" spans="2:43" x14ac:dyDescent="0.35">
      <c r="B828" s="5"/>
      <c r="C828" s="7"/>
      <c r="D828" s="5"/>
      <c r="E828" s="7"/>
      <c r="F828" s="7"/>
      <c r="G828" s="7"/>
      <c r="AK828" s="5"/>
      <c r="AQ828" s="5"/>
    </row>
    <row r="829" spans="2:43" x14ac:dyDescent="0.35">
      <c r="B829" s="5"/>
      <c r="C829" s="7"/>
      <c r="D829" s="5"/>
      <c r="E829" s="7"/>
      <c r="F829" s="7"/>
      <c r="G829" s="7"/>
      <c r="AK829" s="5"/>
      <c r="AQ829" s="5"/>
    </row>
    <row r="830" spans="2:43" x14ac:dyDescent="0.35">
      <c r="B830" s="5"/>
      <c r="C830" s="7"/>
      <c r="D830" s="5"/>
      <c r="E830" s="7"/>
      <c r="F830" s="7"/>
      <c r="G830" s="7"/>
      <c r="AK830" s="5"/>
      <c r="AQ830" s="5"/>
    </row>
    <row r="831" spans="2:43" x14ac:dyDescent="0.35">
      <c r="B831" s="5"/>
      <c r="C831" s="7"/>
      <c r="D831" s="5"/>
      <c r="E831" s="7"/>
      <c r="F831" s="7"/>
      <c r="G831" s="7"/>
      <c r="AK831" s="5"/>
      <c r="AQ831" s="5"/>
    </row>
    <row r="832" spans="2:43" x14ac:dyDescent="0.35">
      <c r="B832" s="5"/>
      <c r="C832" s="7"/>
      <c r="D832" s="5"/>
      <c r="E832" s="7"/>
      <c r="F832" s="7"/>
      <c r="G832" s="7"/>
      <c r="AK832" s="5"/>
      <c r="AQ832" s="5"/>
    </row>
    <row r="833" spans="2:43" x14ac:dyDescent="0.35">
      <c r="B833" s="5"/>
      <c r="C833" s="7"/>
      <c r="D833" s="5"/>
      <c r="E833" s="7"/>
      <c r="F833" s="7"/>
      <c r="G833" s="7"/>
      <c r="AK833" s="5"/>
      <c r="AQ833" s="5"/>
    </row>
    <row r="834" spans="2:43" x14ac:dyDescent="0.35">
      <c r="B834" s="5"/>
      <c r="C834" s="7"/>
      <c r="D834" s="5"/>
      <c r="E834" s="7"/>
      <c r="F834" s="7"/>
      <c r="G834" s="7"/>
      <c r="AK834" s="5"/>
      <c r="AQ834" s="5"/>
    </row>
    <row r="835" spans="2:43" x14ac:dyDescent="0.35">
      <c r="B835" s="5"/>
      <c r="C835" s="7"/>
      <c r="D835" s="5"/>
      <c r="E835" s="7"/>
      <c r="F835" s="7"/>
      <c r="G835" s="7"/>
      <c r="AK835" s="5"/>
      <c r="AQ835" s="5"/>
    </row>
    <row r="836" spans="2:43" x14ac:dyDescent="0.35">
      <c r="B836" s="5"/>
      <c r="C836" s="7"/>
      <c r="D836" s="5"/>
      <c r="E836" s="7"/>
      <c r="F836" s="7"/>
      <c r="G836" s="7"/>
      <c r="AK836" s="5"/>
      <c r="AQ836" s="5"/>
    </row>
    <row r="837" spans="2:43" x14ac:dyDescent="0.35">
      <c r="B837" s="5"/>
      <c r="C837" s="7"/>
      <c r="D837" s="5"/>
      <c r="E837" s="7"/>
      <c r="F837" s="7"/>
      <c r="G837" s="7"/>
      <c r="AK837" s="5"/>
      <c r="AQ837" s="5"/>
    </row>
    <row r="838" spans="2:43" x14ac:dyDescent="0.35">
      <c r="B838" s="5"/>
      <c r="C838" s="7"/>
      <c r="D838" s="5"/>
      <c r="E838" s="7"/>
      <c r="F838" s="7"/>
      <c r="G838" s="7"/>
      <c r="AK838" s="5"/>
      <c r="AQ838" s="5"/>
    </row>
    <row r="839" spans="2:43" x14ac:dyDescent="0.35">
      <c r="B839" s="5"/>
      <c r="C839" s="7"/>
      <c r="D839" s="5"/>
      <c r="E839" s="7"/>
      <c r="F839" s="7"/>
      <c r="G839" s="7"/>
      <c r="AK839" s="5"/>
      <c r="AQ839" s="5"/>
    </row>
    <row r="840" spans="2:43" x14ac:dyDescent="0.35">
      <c r="B840" s="5"/>
      <c r="C840" s="7"/>
      <c r="D840" s="5"/>
      <c r="E840" s="7"/>
      <c r="F840" s="7"/>
      <c r="G840" s="7"/>
      <c r="AK840" s="5"/>
      <c r="AQ840" s="5"/>
    </row>
    <row r="841" spans="2:43" x14ac:dyDescent="0.35">
      <c r="B841" s="5"/>
      <c r="C841" s="7"/>
      <c r="D841" s="5"/>
      <c r="E841" s="7"/>
      <c r="F841" s="7"/>
      <c r="G841" s="7"/>
      <c r="AK841" s="5"/>
      <c r="AQ841" s="5"/>
    </row>
    <row r="842" spans="2:43" x14ac:dyDescent="0.35">
      <c r="B842" s="5"/>
      <c r="C842" s="7"/>
      <c r="D842" s="5"/>
      <c r="E842" s="7"/>
      <c r="F842" s="7"/>
      <c r="G842" s="7"/>
      <c r="AK842" s="5"/>
      <c r="AQ842" s="5"/>
    </row>
    <row r="843" spans="2:43" x14ac:dyDescent="0.35">
      <c r="B843" s="5"/>
      <c r="C843" s="7"/>
      <c r="D843" s="5"/>
      <c r="E843" s="7"/>
      <c r="F843" s="7"/>
      <c r="G843" s="7"/>
      <c r="AK843" s="5"/>
      <c r="AQ843" s="5"/>
    </row>
    <row r="844" spans="2:43" x14ac:dyDescent="0.35">
      <c r="B844" s="5"/>
      <c r="C844" s="7"/>
      <c r="D844" s="5"/>
      <c r="E844" s="7"/>
      <c r="F844" s="7"/>
      <c r="G844" s="7"/>
      <c r="AK844" s="5"/>
      <c r="AQ844" s="5"/>
    </row>
    <row r="845" spans="2:43" x14ac:dyDescent="0.35">
      <c r="B845" s="5"/>
      <c r="C845" s="7"/>
      <c r="D845" s="5"/>
      <c r="E845" s="7"/>
      <c r="F845" s="7"/>
      <c r="G845" s="7"/>
      <c r="AK845" s="5"/>
      <c r="AQ845" s="5"/>
    </row>
    <row r="846" spans="2:43" x14ac:dyDescent="0.35">
      <c r="B846" s="5"/>
      <c r="C846" s="7"/>
      <c r="D846" s="5"/>
      <c r="E846" s="7"/>
      <c r="F846" s="7"/>
      <c r="G846" s="7"/>
      <c r="AK846" s="5"/>
      <c r="AQ846" s="5"/>
    </row>
    <row r="847" spans="2:43" x14ac:dyDescent="0.35">
      <c r="B847" s="5"/>
      <c r="C847" s="7"/>
      <c r="D847" s="5"/>
      <c r="E847" s="7"/>
      <c r="F847" s="7"/>
      <c r="G847" s="7"/>
      <c r="AK847" s="5"/>
      <c r="AQ847" s="5"/>
    </row>
    <row r="848" spans="2:43" x14ac:dyDescent="0.35">
      <c r="B848" s="5"/>
      <c r="C848" s="7"/>
      <c r="D848" s="5"/>
      <c r="E848" s="7"/>
      <c r="F848" s="7"/>
      <c r="G848" s="7"/>
      <c r="AK848" s="5"/>
      <c r="AQ848" s="5"/>
    </row>
    <row r="849" spans="2:43" x14ac:dyDescent="0.35">
      <c r="B849" s="5"/>
      <c r="C849" s="7"/>
      <c r="D849" s="5"/>
      <c r="E849" s="7"/>
      <c r="F849" s="7"/>
      <c r="G849" s="7"/>
      <c r="AK849" s="5"/>
      <c r="AQ849" s="5"/>
    </row>
    <row r="850" spans="2:43" x14ac:dyDescent="0.35">
      <c r="B850" s="5"/>
      <c r="C850" s="7"/>
      <c r="D850" s="5"/>
      <c r="E850" s="7"/>
      <c r="F850" s="7"/>
      <c r="G850" s="7"/>
      <c r="AK850" s="5"/>
      <c r="AQ850" s="5"/>
    </row>
    <row r="851" spans="2:43" x14ac:dyDescent="0.35">
      <c r="B851" s="5"/>
      <c r="C851" s="7"/>
      <c r="D851" s="5"/>
      <c r="E851" s="7"/>
      <c r="F851" s="7"/>
      <c r="G851" s="7"/>
      <c r="AK851" s="5"/>
      <c r="AQ851" s="5"/>
    </row>
    <row r="852" spans="2:43" x14ac:dyDescent="0.35">
      <c r="B852" s="5"/>
      <c r="C852" s="7"/>
      <c r="D852" s="5"/>
      <c r="E852" s="7"/>
      <c r="F852" s="7"/>
      <c r="G852" s="7"/>
      <c r="AK852" s="5"/>
      <c r="AQ852" s="5"/>
    </row>
    <row r="853" spans="2:43" x14ac:dyDescent="0.35">
      <c r="B853" s="5"/>
      <c r="C853" s="7"/>
      <c r="D853" s="5"/>
      <c r="E853" s="7"/>
      <c r="F853" s="7"/>
      <c r="G853" s="7"/>
      <c r="AK853" s="5"/>
      <c r="AQ853" s="5"/>
    </row>
    <row r="854" spans="2:43" x14ac:dyDescent="0.35">
      <c r="B854" s="5"/>
      <c r="C854" s="7"/>
      <c r="D854" s="5"/>
      <c r="E854" s="7"/>
      <c r="F854" s="7"/>
      <c r="G854" s="7"/>
      <c r="AK854" s="5"/>
      <c r="AQ854" s="5"/>
    </row>
    <row r="855" spans="2:43" x14ac:dyDescent="0.35">
      <c r="B855" s="5"/>
      <c r="C855" s="7"/>
      <c r="D855" s="5"/>
      <c r="E855" s="7"/>
      <c r="F855" s="7"/>
      <c r="G855" s="7"/>
      <c r="AK855" s="5"/>
      <c r="AQ855" s="5"/>
    </row>
    <row r="856" spans="2:43" x14ac:dyDescent="0.35">
      <c r="B856" s="5"/>
      <c r="C856" s="7"/>
      <c r="D856" s="5"/>
      <c r="E856" s="7"/>
      <c r="F856" s="7"/>
      <c r="G856" s="7"/>
      <c r="AK856" s="5"/>
      <c r="AQ856" s="5"/>
    </row>
    <row r="857" spans="2:43" x14ac:dyDescent="0.35">
      <c r="B857" s="5"/>
      <c r="C857" s="7"/>
      <c r="D857" s="5"/>
      <c r="E857" s="7"/>
      <c r="F857" s="7"/>
      <c r="G857" s="7"/>
      <c r="AK857" s="5"/>
      <c r="AQ857" s="5"/>
    </row>
    <row r="858" spans="2:43" x14ac:dyDescent="0.35">
      <c r="B858" s="5"/>
      <c r="C858" s="7"/>
      <c r="D858" s="5"/>
      <c r="E858" s="7"/>
      <c r="F858" s="7"/>
      <c r="G858" s="7"/>
      <c r="AK858" s="5"/>
      <c r="AQ858" s="5"/>
    </row>
    <row r="859" spans="2:43" x14ac:dyDescent="0.35">
      <c r="B859" s="5"/>
      <c r="C859" s="7"/>
      <c r="D859" s="5"/>
      <c r="E859" s="7"/>
      <c r="F859" s="7"/>
      <c r="G859" s="7"/>
      <c r="AK859" s="5"/>
      <c r="AQ859" s="5"/>
    </row>
    <row r="860" spans="2:43" x14ac:dyDescent="0.35">
      <c r="B860" s="5"/>
      <c r="C860" s="7"/>
      <c r="D860" s="5"/>
      <c r="E860" s="7"/>
      <c r="F860" s="7"/>
      <c r="G860" s="7"/>
      <c r="AK860" s="5"/>
      <c r="AQ860" s="5"/>
    </row>
    <row r="861" spans="2:43" x14ac:dyDescent="0.35">
      <c r="B861" s="5"/>
      <c r="C861" s="7"/>
      <c r="D861" s="5"/>
      <c r="E861" s="7"/>
      <c r="F861" s="7"/>
      <c r="G861" s="7"/>
      <c r="AK861" s="5"/>
      <c r="AQ861" s="5"/>
    </row>
    <row r="862" spans="2:43" x14ac:dyDescent="0.35">
      <c r="B862" s="5"/>
      <c r="C862" s="7"/>
      <c r="D862" s="5"/>
      <c r="E862" s="7"/>
      <c r="F862" s="7"/>
      <c r="G862" s="7"/>
      <c r="AK862" s="5"/>
      <c r="AQ862" s="5"/>
    </row>
    <row r="863" spans="2:43" x14ac:dyDescent="0.35">
      <c r="B863" s="5"/>
      <c r="C863" s="7"/>
      <c r="D863" s="5"/>
      <c r="E863" s="7"/>
      <c r="F863" s="7"/>
      <c r="G863" s="7"/>
      <c r="AK863" s="5"/>
      <c r="AQ863" s="5"/>
    </row>
    <row r="864" spans="2:43" x14ac:dyDescent="0.35">
      <c r="B864" s="5"/>
      <c r="C864" s="7"/>
      <c r="D864" s="5"/>
      <c r="E864" s="7"/>
      <c r="F864" s="7"/>
      <c r="G864" s="7"/>
      <c r="AK864" s="5"/>
      <c r="AQ864" s="5"/>
    </row>
    <row r="865" spans="2:43" x14ac:dyDescent="0.35">
      <c r="B865" s="5"/>
      <c r="C865" s="7"/>
      <c r="D865" s="5"/>
      <c r="E865" s="7"/>
      <c r="F865" s="7"/>
      <c r="G865" s="7"/>
      <c r="AK865" s="5"/>
      <c r="AQ865" s="5"/>
    </row>
    <row r="866" spans="2:43" x14ac:dyDescent="0.35">
      <c r="B866" s="5"/>
      <c r="C866" s="7"/>
      <c r="D866" s="5"/>
      <c r="E866" s="7"/>
      <c r="F866" s="7"/>
      <c r="G866" s="7"/>
      <c r="AK866" s="5"/>
      <c r="AQ866" s="5"/>
    </row>
    <row r="867" spans="2:43" x14ac:dyDescent="0.35">
      <c r="B867" s="5"/>
      <c r="C867" s="7"/>
      <c r="D867" s="5"/>
      <c r="E867" s="7"/>
      <c r="F867" s="7"/>
      <c r="G867" s="7"/>
      <c r="AK867" s="5"/>
      <c r="AQ867" s="5"/>
    </row>
    <row r="868" spans="2:43" x14ac:dyDescent="0.35">
      <c r="B868" s="5"/>
      <c r="C868" s="7"/>
      <c r="D868" s="5"/>
      <c r="E868" s="7"/>
      <c r="F868" s="7"/>
      <c r="G868" s="7"/>
      <c r="AK868" s="5"/>
      <c r="AQ868" s="5"/>
    </row>
    <row r="869" spans="2:43" x14ac:dyDescent="0.35">
      <c r="B869" s="5"/>
      <c r="C869" s="7"/>
      <c r="D869" s="5"/>
      <c r="E869" s="7"/>
      <c r="F869" s="7"/>
      <c r="G869" s="7"/>
      <c r="AK869" s="5"/>
      <c r="AQ869" s="5"/>
    </row>
    <row r="870" spans="2:43" x14ac:dyDescent="0.35">
      <c r="B870" s="5"/>
      <c r="C870" s="7"/>
      <c r="D870" s="5"/>
      <c r="E870" s="7"/>
      <c r="F870" s="7"/>
      <c r="G870" s="7"/>
      <c r="AK870" s="5"/>
      <c r="AQ870" s="5"/>
    </row>
    <row r="871" spans="2:43" x14ac:dyDescent="0.35">
      <c r="B871" s="5"/>
      <c r="C871" s="7"/>
      <c r="D871" s="5"/>
      <c r="E871" s="7"/>
      <c r="F871" s="7"/>
      <c r="G871" s="7"/>
      <c r="AK871" s="5"/>
      <c r="AQ871" s="5"/>
    </row>
    <row r="872" spans="2:43" x14ac:dyDescent="0.35">
      <c r="B872" s="5"/>
      <c r="C872" s="7"/>
      <c r="D872" s="5"/>
      <c r="E872" s="7"/>
      <c r="F872" s="7"/>
      <c r="G872" s="7"/>
      <c r="AK872" s="5"/>
      <c r="AQ872" s="5"/>
    </row>
    <row r="873" spans="2:43" x14ac:dyDescent="0.35">
      <c r="B873" s="5"/>
      <c r="C873" s="7"/>
      <c r="D873" s="5"/>
      <c r="E873" s="7"/>
      <c r="F873" s="7"/>
      <c r="G873" s="7"/>
      <c r="AK873" s="5"/>
      <c r="AQ873" s="5"/>
    </row>
    <row r="874" spans="2:43" x14ac:dyDescent="0.35">
      <c r="B874" s="5"/>
      <c r="C874" s="7"/>
      <c r="D874" s="5"/>
      <c r="E874" s="7"/>
      <c r="F874" s="7"/>
      <c r="G874" s="7"/>
      <c r="AK874" s="5"/>
      <c r="AQ874" s="5"/>
    </row>
    <row r="875" spans="2:43" x14ac:dyDescent="0.35">
      <c r="B875" s="5"/>
      <c r="C875" s="7"/>
      <c r="D875" s="5"/>
      <c r="E875" s="7"/>
      <c r="F875" s="7"/>
      <c r="G875" s="7"/>
      <c r="AK875" s="5"/>
      <c r="AQ875" s="5"/>
    </row>
    <row r="876" spans="2:43" x14ac:dyDescent="0.35">
      <c r="B876" s="5"/>
      <c r="C876" s="7"/>
      <c r="D876" s="5"/>
      <c r="E876" s="7"/>
      <c r="F876" s="7"/>
      <c r="G876" s="7"/>
      <c r="AK876" s="5"/>
      <c r="AQ876" s="5"/>
    </row>
    <row r="877" spans="2:43" x14ac:dyDescent="0.35">
      <c r="B877" s="5"/>
      <c r="C877" s="7"/>
      <c r="D877" s="5"/>
      <c r="E877" s="7"/>
      <c r="F877" s="7"/>
      <c r="G877" s="7"/>
      <c r="AK877" s="5"/>
      <c r="AQ877" s="5"/>
    </row>
    <row r="878" spans="2:43" x14ac:dyDescent="0.35">
      <c r="B878" s="5"/>
      <c r="C878" s="7"/>
      <c r="D878" s="5"/>
      <c r="E878" s="7"/>
      <c r="F878" s="7"/>
      <c r="G878" s="7"/>
      <c r="AK878" s="5"/>
      <c r="AQ878" s="5"/>
    </row>
    <row r="879" spans="2:43" x14ac:dyDescent="0.35">
      <c r="B879" s="5"/>
      <c r="C879" s="7"/>
      <c r="D879" s="5"/>
      <c r="E879" s="7"/>
      <c r="F879" s="7"/>
      <c r="G879" s="7"/>
      <c r="AK879" s="5"/>
      <c r="AQ879" s="5"/>
    </row>
    <row r="880" spans="2:43" x14ac:dyDescent="0.35">
      <c r="B880" s="5"/>
      <c r="C880" s="7"/>
      <c r="D880" s="5"/>
      <c r="E880" s="7"/>
      <c r="F880" s="7"/>
      <c r="G880" s="7"/>
      <c r="AK880" s="5"/>
      <c r="AQ880" s="5"/>
    </row>
    <row r="881" spans="2:43" x14ac:dyDescent="0.35">
      <c r="B881" s="5"/>
      <c r="C881" s="7"/>
      <c r="D881" s="5"/>
      <c r="E881" s="7"/>
      <c r="F881" s="7"/>
      <c r="G881" s="7"/>
      <c r="AK881" s="5"/>
      <c r="AQ881" s="5"/>
    </row>
    <row r="882" spans="2:43" x14ac:dyDescent="0.35">
      <c r="B882" s="5"/>
      <c r="C882" s="7"/>
      <c r="D882" s="5"/>
      <c r="E882" s="7"/>
      <c r="F882" s="7"/>
      <c r="G882" s="7"/>
      <c r="AK882" s="5"/>
      <c r="AQ882" s="5"/>
    </row>
    <row r="883" spans="2:43" x14ac:dyDescent="0.35">
      <c r="B883" s="5"/>
      <c r="C883" s="7"/>
      <c r="D883" s="5"/>
      <c r="E883" s="7"/>
      <c r="F883" s="7"/>
      <c r="G883" s="7"/>
      <c r="AK883" s="5"/>
      <c r="AQ883" s="5"/>
    </row>
    <row r="884" spans="2:43" x14ac:dyDescent="0.35">
      <c r="B884" s="5"/>
      <c r="C884" s="7"/>
      <c r="D884" s="5"/>
      <c r="E884" s="7"/>
      <c r="F884" s="7"/>
      <c r="G884" s="7"/>
      <c r="AK884" s="5"/>
      <c r="AQ884" s="5"/>
    </row>
    <row r="885" spans="2:43" x14ac:dyDescent="0.35">
      <c r="B885" s="5"/>
      <c r="C885" s="7"/>
      <c r="D885" s="5"/>
      <c r="E885" s="7"/>
      <c r="F885" s="7"/>
      <c r="G885" s="7"/>
      <c r="AK885" s="5"/>
      <c r="AQ885" s="5"/>
    </row>
    <row r="886" spans="2:43" x14ac:dyDescent="0.35">
      <c r="B886" s="5"/>
      <c r="C886" s="7"/>
      <c r="D886" s="5"/>
      <c r="E886" s="7"/>
      <c r="F886" s="7"/>
      <c r="G886" s="7"/>
      <c r="AK886" s="5"/>
      <c r="AQ886" s="5"/>
    </row>
    <row r="887" spans="2:43" x14ac:dyDescent="0.35">
      <c r="B887" s="5"/>
      <c r="C887" s="7"/>
      <c r="D887" s="5"/>
      <c r="E887" s="7"/>
      <c r="F887" s="7"/>
      <c r="G887" s="7"/>
      <c r="AK887" s="5"/>
      <c r="AQ887" s="5"/>
    </row>
    <row r="888" spans="2:43" x14ac:dyDescent="0.35">
      <c r="B888" s="5"/>
      <c r="C888" s="7"/>
      <c r="D888" s="5"/>
      <c r="E888" s="7"/>
      <c r="F888" s="7"/>
      <c r="G888" s="7"/>
      <c r="AK888" s="5"/>
      <c r="AQ888" s="5"/>
    </row>
    <row r="889" spans="2:43" x14ac:dyDescent="0.35">
      <c r="B889" s="5"/>
      <c r="C889" s="7"/>
      <c r="D889" s="5"/>
      <c r="E889" s="7"/>
      <c r="F889" s="7"/>
      <c r="G889" s="7"/>
      <c r="AK889" s="5"/>
      <c r="AQ889" s="5"/>
    </row>
    <row r="890" spans="2:43" x14ac:dyDescent="0.35">
      <c r="B890" s="5"/>
      <c r="C890" s="7"/>
      <c r="D890" s="5"/>
      <c r="E890" s="7"/>
      <c r="F890" s="7"/>
      <c r="G890" s="7"/>
      <c r="AK890" s="5"/>
      <c r="AQ890" s="5"/>
    </row>
    <row r="891" spans="2:43" x14ac:dyDescent="0.35">
      <c r="B891" s="5"/>
      <c r="C891" s="7"/>
      <c r="D891" s="5"/>
      <c r="E891" s="7"/>
      <c r="F891" s="7"/>
      <c r="G891" s="7"/>
      <c r="AK891" s="5"/>
      <c r="AQ891" s="5"/>
    </row>
    <row r="892" spans="2:43" x14ac:dyDescent="0.35">
      <c r="B892" s="5"/>
      <c r="C892" s="7"/>
      <c r="D892" s="5"/>
      <c r="E892" s="7"/>
      <c r="F892" s="7"/>
      <c r="G892" s="7"/>
      <c r="AK892" s="5"/>
      <c r="AQ892" s="5"/>
    </row>
    <row r="893" spans="2:43" x14ac:dyDescent="0.35">
      <c r="B893" s="5"/>
      <c r="C893" s="7"/>
      <c r="D893" s="5"/>
      <c r="E893" s="7"/>
      <c r="F893" s="7"/>
      <c r="G893" s="7"/>
      <c r="AK893" s="5"/>
      <c r="AQ893" s="5"/>
    </row>
    <row r="894" spans="2:43" x14ac:dyDescent="0.35">
      <c r="B894" s="5"/>
      <c r="C894" s="7"/>
      <c r="D894" s="5"/>
      <c r="E894" s="7"/>
      <c r="F894" s="7"/>
      <c r="G894" s="7"/>
      <c r="AK894" s="5"/>
      <c r="AQ894" s="5"/>
    </row>
    <row r="895" spans="2:43" x14ac:dyDescent="0.35">
      <c r="B895" s="5"/>
      <c r="C895" s="7"/>
      <c r="D895" s="5"/>
      <c r="E895" s="7"/>
      <c r="F895" s="7"/>
      <c r="G895" s="7"/>
      <c r="AK895" s="5"/>
      <c r="AQ895" s="5"/>
    </row>
    <row r="896" spans="2:43" x14ac:dyDescent="0.35">
      <c r="B896" s="5"/>
      <c r="C896" s="7"/>
      <c r="D896" s="5"/>
      <c r="E896" s="7"/>
      <c r="F896" s="7"/>
      <c r="G896" s="7"/>
      <c r="AK896" s="5"/>
      <c r="AQ896" s="5"/>
    </row>
    <row r="897" spans="2:43" x14ac:dyDescent="0.35">
      <c r="B897" s="5"/>
      <c r="C897" s="7"/>
      <c r="D897" s="5"/>
      <c r="E897" s="7"/>
      <c r="F897" s="7"/>
      <c r="G897" s="7"/>
      <c r="AK897" s="5"/>
      <c r="AQ897" s="5"/>
    </row>
    <row r="898" spans="2:43" x14ac:dyDescent="0.35">
      <c r="B898" s="5"/>
      <c r="C898" s="7"/>
      <c r="D898" s="5"/>
      <c r="E898" s="7"/>
      <c r="F898" s="7"/>
      <c r="G898" s="7"/>
      <c r="AK898" s="5"/>
      <c r="AQ898" s="5"/>
    </row>
    <row r="899" spans="2:43" x14ac:dyDescent="0.35">
      <c r="B899" s="5"/>
      <c r="C899" s="7"/>
      <c r="D899" s="5"/>
      <c r="E899" s="7"/>
      <c r="F899" s="7"/>
      <c r="G899" s="7"/>
      <c r="AK899" s="5"/>
      <c r="AQ899" s="5"/>
    </row>
    <row r="900" spans="2:43" x14ac:dyDescent="0.35">
      <c r="B900" s="5"/>
      <c r="C900" s="7"/>
      <c r="D900" s="5"/>
      <c r="E900" s="7"/>
      <c r="F900" s="7"/>
      <c r="G900" s="7"/>
      <c r="AK900" s="5"/>
      <c r="AQ900" s="5"/>
    </row>
    <row r="901" spans="2:43" x14ac:dyDescent="0.35">
      <c r="B901" s="5"/>
      <c r="C901" s="7"/>
      <c r="D901" s="5"/>
      <c r="E901" s="7"/>
      <c r="F901" s="7"/>
      <c r="G901" s="7"/>
      <c r="AK901" s="5"/>
      <c r="AQ901" s="5"/>
    </row>
    <row r="902" spans="2:43" x14ac:dyDescent="0.35">
      <c r="B902" s="5"/>
      <c r="C902" s="7"/>
      <c r="D902" s="5"/>
      <c r="E902" s="7"/>
      <c r="F902" s="7"/>
      <c r="G902" s="7"/>
      <c r="AK902" s="5"/>
      <c r="AQ902" s="5"/>
    </row>
    <row r="903" spans="2:43" x14ac:dyDescent="0.35">
      <c r="B903" s="5"/>
      <c r="C903" s="7"/>
      <c r="D903" s="5"/>
      <c r="E903" s="7"/>
      <c r="F903" s="7"/>
      <c r="G903" s="7"/>
      <c r="AK903" s="5"/>
      <c r="AQ903" s="5"/>
    </row>
    <row r="904" spans="2:43" x14ac:dyDescent="0.35">
      <c r="B904" s="5"/>
      <c r="C904" s="7"/>
      <c r="D904" s="5"/>
      <c r="E904" s="7"/>
      <c r="F904" s="7"/>
      <c r="G904" s="7"/>
      <c r="AK904" s="5"/>
      <c r="AQ904" s="5"/>
    </row>
    <row r="905" spans="2:43" x14ac:dyDescent="0.35">
      <c r="B905" s="5"/>
      <c r="C905" s="7"/>
      <c r="D905" s="5"/>
      <c r="E905" s="7"/>
      <c r="F905" s="7"/>
      <c r="G905" s="7"/>
      <c r="AK905" s="5"/>
      <c r="AQ905" s="5"/>
    </row>
    <row r="906" spans="2:43" x14ac:dyDescent="0.35">
      <c r="B906" s="5"/>
      <c r="C906" s="7"/>
      <c r="D906" s="5"/>
      <c r="E906" s="7"/>
      <c r="F906" s="7"/>
      <c r="G906" s="7"/>
      <c r="AK906" s="5"/>
      <c r="AQ906" s="5"/>
    </row>
    <row r="907" spans="2:43" x14ac:dyDescent="0.35">
      <c r="B907" s="5"/>
      <c r="C907" s="7"/>
      <c r="D907" s="5"/>
      <c r="E907" s="7"/>
      <c r="F907" s="7"/>
      <c r="G907" s="7"/>
      <c r="AK907" s="5"/>
      <c r="AQ907" s="5"/>
    </row>
    <row r="908" spans="2:43" x14ac:dyDescent="0.35">
      <c r="B908" s="5"/>
      <c r="C908" s="7"/>
      <c r="D908" s="5"/>
      <c r="E908" s="7"/>
      <c r="F908" s="7"/>
      <c r="G908" s="7"/>
      <c r="AK908" s="5"/>
      <c r="AQ908" s="5"/>
    </row>
    <row r="909" spans="2:43" x14ac:dyDescent="0.35">
      <c r="B909" s="5"/>
      <c r="C909" s="7"/>
      <c r="D909" s="5"/>
      <c r="E909" s="7"/>
      <c r="F909" s="7"/>
      <c r="G909" s="7"/>
      <c r="AK909" s="5"/>
      <c r="AQ909" s="5"/>
    </row>
    <row r="910" spans="2:43" x14ac:dyDescent="0.35">
      <c r="B910" s="5"/>
      <c r="C910" s="7"/>
      <c r="D910" s="5"/>
      <c r="E910" s="7"/>
      <c r="F910" s="7"/>
      <c r="G910" s="7"/>
      <c r="AK910" s="5"/>
      <c r="AQ910" s="5"/>
    </row>
    <row r="911" spans="2:43" x14ac:dyDescent="0.35">
      <c r="B911" s="5"/>
      <c r="C911" s="7"/>
      <c r="D911" s="5"/>
      <c r="E911" s="7"/>
      <c r="F911" s="7"/>
      <c r="G911" s="7"/>
      <c r="AK911" s="5"/>
      <c r="AQ911" s="5"/>
    </row>
    <row r="912" spans="2:43" x14ac:dyDescent="0.35">
      <c r="B912" s="5"/>
      <c r="C912" s="7"/>
      <c r="D912" s="5"/>
      <c r="E912" s="7"/>
      <c r="F912" s="7"/>
      <c r="G912" s="7"/>
      <c r="AK912" s="5"/>
      <c r="AQ912" s="5"/>
    </row>
    <row r="913" spans="2:43" x14ac:dyDescent="0.35">
      <c r="B913" s="5"/>
      <c r="C913" s="7"/>
      <c r="D913" s="5"/>
      <c r="E913" s="7"/>
      <c r="F913" s="7"/>
      <c r="G913" s="7"/>
      <c r="AK913" s="5"/>
      <c r="AQ913" s="5"/>
    </row>
    <row r="914" spans="2:43" x14ac:dyDescent="0.35">
      <c r="B914" s="5"/>
      <c r="C914" s="7"/>
      <c r="D914" s="5"/>
      <c r="E914" s="7"/>
      <c r="F914" s="7"/>
      <c r="G914" s="7"/>
      <c r="AK914" s="5"/>
      <c r="AQ914" s="5"/>
    </row>
    <row r="915" spans="2:43" x14ac:dyDescent="0.35">
      <c r="B915" s="5"/>
      <c r="C915" s="7"/>
      <c r="D915" s="5"/>
      <c r="E915" s="7"/>
      <c r="F915" s="7"/>
      <c r="G915" s="7"/>
      <c r="AK915" s="5"/>
      <c r="AQ915" s="5"/>
    </row>
    <row r="916" spans="2:43" x14ac:dyDescent="0.35">
      <c r="B916" s="5"/>
      <c r="C916" s="7"/>
      <c r="D916" s="5"/>
      <c r="E916" s="7"/>
      <c r="F916" s="7"/>
      <c r="G916" s="7"/>
      <c r="AK916" s="5"/>
      <c r="AQ916" s="5"/>
    </row>
    <row r="917" spans="2:43" x14ac:dyDescent="0.35">
      <c r="B917" s="5"/>
      <c r="C917" s="7"/>
      <c r="D917" s="5"/>
      <c r="E917" s="7"/>
      <c r="F917" s="7"/>
      <c r="G917" s="7"/>
      <c r="AK917" s="5"/>
      <c r="AQ917" s="5"/>
    </row>
    <row r="918" spans="2:43" x14ac:dyDescent="0.35">
      <c r="B918" s="5"/>
      <c r="C918" s="7"/>
      <c r="D918" s="5"/>
      <c r="E918" s="7"/>
      <c r="F918" s="7"/>
      <c r="G918" s="7"/>
      <c r="AK918" s="5"/>
      <c r="AQ918" s="5"/>
    </row>
    <row r="919" spans="2:43" x14ac:dyDescent="0.35">
      <c r="B919" s="5"/>
      <c r="C919" s="7"/>
      <c r="D919" s="5"/>
      <c r="E919" s="7"/>
      <c r="F919" s="7"/>
      <c r="G919" s="7"/>
      <c r="AK919" s="5"/>
      <c r="AQ919" s="5"/>
    </row>
    <row r="920" spans="2:43" x14ac:dyDescent="0.35">
      <c r="B920" s="5"/>
      <c r="C920" s="7"/>
      <c r="D920" s="5"/>
      <c r="E920" s="7"/>
      <c r="F920" s="7"/>
      <c r="G920" s="7"/>
      <c r="AK920" s="5"/>
      <c r="AQ920" s="5"/>
    </row>
    <row r="921" spans="2:43" x14ac:dyDescent="0.35">
      <c r="B921" s="5"/>
      <c r="C921" s="7"/>
      <c r="D921" s="5"/>
      <c r="E921" s="7"/>
      <c r="F921" s="7"/>
      <c r="G921" s="7"/>
      <c r="AK921" s="5"/>
      <c r="AQ921" s="5"/>
    </row>
    <row r="922" spans="2:43" x14ac:dyDescent="0.35">
      <c r="B922" s="5"/>
      <c r="C922" s="7"/>
      <c r="D922" s="5"/>
      <c r="E922" s="7"/>
      <c r="F922" s="7"/>
      <c r="G922" s="7"/>
      <c r="AK922" s="5"/>
      <c r="AQ922" s="5"/>
    </row>
    <row r="923" spans="2:43" x14ac:dyDescent="0.35">
      <c r="B923" s="5"/>
      <c r="C923" s="7"/>
      <c r="D923" s="5"/>
      <c r="E923" s="7"/>
      <c r="F923" s="7"/>
      <c r="G923" s="7"/>
      <c r="AK923" s="5"/>
      <c r="AQ923" s="5"/>
    </row>
    <row r="924" spans="2:43" x14ac:dyDescent="0.35">
      <c r="B924" s="5"/>
      <c r="C924" s="7"/>
      <c r="D924" s="5"/>
      <c r="E924" s="7"/>
      <c r="F924" s="7"/>
      <c r="G924" s="7"/>
      <c r="AK924" s="5"/>
      <c r="AQ924" s="5"/>
    </row>
    <row r="925" spans="2:43" x14ac:dyDescent="0.35">
      <c r="B925" s="5"/>
      <c r="C925" s="7"/>
      <c r="D925" s="5"/>
      <c r="E925" s="7"/>
      <c r="F925" s="7"/>
      <c r="G925" s="7"/>
      <c r="AK925" s="5"/>
      <c r="AQ925" s="5"/>
    </row>
    <row r="926" spans="2:43" x14ac:dyDescent="0.35">
      <c r="B926" s="5"/>
      <c r="C926" s="7"/>
      <c r="D926" s="5"/>
      <c r="E926" s="7"/>
      <c r="F926" s="7"/>
      <c r="G926" s="7"/>
      <c r="AK926" s="5"/>
      <c r="AQ926" s="5"/>
    </row>
    <row r="927" spans="2:43" x14ac:dyDescent="0.35">
      <c r="B927" s="5"/>
      <c r="C927" s="7"/>
      <c r="D927" s="5"/>
      <c r="E927" s="7"/>
      <c r="F927" s="7"/>
      <c r="G927" s="7"/>
      <c r="AK927" s="5"/>
      <c r="AQ927" s="5"/>
    </row>
    <row r="928" spans="2:43" x14ac:dyDescent="0.35">
      <c r="B928" s="5"/>
      <c r="C928" s="7"/>
      <c r="D928" s="5"/>
      <c r="E928" s="7"/>
      <c r="F928" s="7"/>
      <c r="G928" s="7"/>
      <c r="AK928" s="5"/>
      <c r="AQ928" s="5"/>
    </row>
    <row r="929" spans="2:43" x14ac:dyDescent="0.35">
      <c r="B929" s="5"/>
      <c r="C929" s="7"/>
      <c r="D929" s="5"/>
      <c r="E929" s="7"/>
      <c r="F929" s="7"/>
      <c r="G929" s="7"/>
      <c r="AK929" s="5"/>
      <c r="AQ929" s="5"/>
    </row>
    <row r="930" spans="2:43" x14ac:dyDescent="0.35">
      <c r="B930" s="5"/>
      <c r="C930" s="7"/>
      <c r="D930" s="5"/>
      <c r="E930" s="7"/>
      <c r="F930" s="7"/>
      <c r="G930" s="7"/>
      <c r="AK930" s="5"/>
      <c r="AQ930" s="5"/>
    </row>
    <row r="931" spans="2:43" x14ac:dyDescent="0.35">
      <c r="B931" s="5"/>
      <c r="C931" s="7"/>
      <c r="D931" s="5"/>
      <c r="E931" s="7"/>
      <c r="F931" s="7"/>
      <c r="G931" s="7"/>
      <c r="AK931" s="5"/>
      <c r="AQ931" s="5"/>
    </row>
    <row r="932" spans="2:43" x14ac:dyDescent="0.35">
      <c r="B932" s="5"/>
      <c r="C932" s="7"/>
      <c r="D932" s="5"/>
      <c r="E932" s="7"/>
      <c r="F932" s="7"/>
      <c r="G932" s="7"/>
      <c r="AK932" s="5"/>
      <c r="AQ932" s="5"/>
    </row>
    <row r="933" spans="2:43" x14ac:dyDescent="0.35">
      <c r="B933" s="5"/>
      <c r="C933" s="7"/>
      <c r="D933" s="5"/>
      <c r="E933" s="7"/>
      <c r="F933" s="7"/>
      <c r="G933" s="7"/>
      <c r="AK933" s="5"/>
      <c r="AQ933" s="5"/>
    </row>
    <row r="934" spans="2:43" x14ac:dyDescent="0.35">
      <c r="B934" s="5"/>
      <c r="C934" s="7"/>
      <c r="D934" s="5"/>
      <c r="E934" s="7"/>
      <c r="F934" s="7"/>
      <c r="G934" s="7"/>
      <c r="AK934" s="5"/>
      <c r="AQ934" s="5"/>
    </row>
    <row r="935" spans="2:43" x14ac:dyDescent="0.35">
      <c r="B935" s="5"/>
      <c r="C935" s="7"/>
      <c r="D935" s="5"/>
      <c r="E935" s="7"/>
      <c r="F935" s="7"/>
      <c r="G935" s="7"/>
      <c r="AK935" s="5"/>
      <c r="AQ935" s="5"/>
    </row>
    <row r="936" spans="2:43" x14ac:dyDescent="0.35">
      <c r="B936" s="5"/>
      <c r="C936" s="7"/>
      <c r="D936" s="5"/>
      <c r="E936" s="7"/>
      <c r="F936" s="7"/>
      <c r="G936" s="7"/>
      <c r="AK936" s="5"/>
      <c r="AQ936" s="5"/>
    </row>
    <row r="937" spans="2:43" x14ac:dyDescent="0.35">
      <c r="B937" s="5"/>
      <c r="C937" s="7"/>
      <c r="D937" s="5"/>
      <c r="E937" s="7"/>
      <c r="F937" s="7"/>
      <c r="G937" s="7"/>
      <c r="AK937" s="5"/>
      <c r="AQ937" s="5"/>
    </row>
    <row r="938" spans="2:43" x14ac:dyDescent="0.35">
      <c r="B938" s="5"/>
      <c r="C938" s="7"/>
      <c r="D938" s="5"/>
      <c r="E938" s="7"/>
      <c r="F938" s="7"/>
      <c r="G938" s="7"/>
      <c r="AK938" s="5"/>
      <c r="AQ938" s="5"/>
    </row>
    <row r="939" spans="2:43" x14ac:dyDescent="0.35">
      <c r="B939" s="5"/>
      <c r="C939" s="7"/>
      <c r="D939" s="5"/>
      <c r="E939" s="7"/>
      <c r="F939" s="7"/>
      <c r="G939" s="7"/>
      <c r="AK939" s="5"/>
      <c r="AQ939" s="5"/>
    </row>
    <row r="940" spans="2:43" x14ac:dyDescent="0.35">
      <c r="B940" s="5"/>
      <c r="C940" s="7"/>
      <c r="D940" s="5"/>
      <c r="E940" s="7"/>
      <c r="F940" s="7"/>
      <c r="G940" s="7"/>
      <c r="AK940" s="5"/>
      <c r="AQ940" s="5"/>
    </row>
    <row r="941" spans="2:43" x14ac:dyDescent="0.35">
      <c r="B941" s="5"/>
      <c r="C941" s="7"/>
      <c r="D941" s="5"/>
      <c r="E941" s="7"/>
      <c r="F941" s="7"/>
      <c r="G941" s="7"/>
      <c r="AK941" s="5"/>
      <c r="AQ941" s="5"/>
    </row>
    <row r="942" spans="2:43" x14ac:dyDescent="0.35">
      <c r="B942" s="5"/>
      <c r="C942" s="7"/>
      <c r="D942" s="5"/>
      <c r="E942" s="7"/>
      <c r="F942" s="7"/>
      <c r="G942" s="7"/>
      <c r="AK942" s="5"/>
      <c r="AQ942" s="5"/>
    </row>
    <row r="943" spans="2:43" x14ac:dyDescent="0.35">
      <c r="B943" s="5"/>
      <c r="C943" s="7"/>
      <c r="D943" s="5"/>
      <c r="E943" s="7"/>
      <c r="F943" s="7"/>
      <c r="G943" s="7"/>
      <c r="AK943" s="5"/>
      <c r="AQ943" s="5"/>
    </row>
    <row r="944" spans="2:43" x14ac:dyDescent="0.35">
      <c r="B944" s="5"/>
      <c r="C944" s="7"/>
      <c r="D944" s="5"/>
      <c r="E944" s="7"/>
      <c r="F944" s="7"/>
      <c r="G944" s="7"/>
      <c r="AK944" s="5"/>
      <c r="AQ944" s="5"/>
    </row>
    <row r="945" spans="2:43" x14ac:dyDescent="0.35">
      <c r="B945" s="5"/>
      <c r="C945" s="7"/>
      <c r="D945" s="5"/>
      <c r="E945" s="7"/>
      <c r="F945" s="7"/>
      <c r="G945" s="7"/>
      <c r="AK945" s="5"/>
      <c r="AQ945" s="5"/>
    </row>
    <row r="946" spans="2:43" x14ac:dyDescent="0.35">
      <c r="B946" s="5"/>
      <c r="C946" s="7"/>
      <c r="D946" s="5"/>
      <c r="E946" s="7"/>
      <c r="F946" s="7"/>
      <c r="G946" s="7"/>
      <c r="AK946" s="5"/>
      <c r="AQ946" s="5"/>
    </row>
    <row r="947" spans="2:43" x14ac:dyDescent="0.35">
      <c r="B947" s="5"/>
      <c r="C947" s="7"/>
      <c r="D947" s="5"/>
      <c r="E947" s="7"/>
      <c r="F947" s="7"/>
      <c r="G947" s="7"/>
      <c r="AK947" s="5"/>
      <c r="AQ947" s="5"/>
    </row>
    <row r="948" spans="2:43" x14ac:dyDescent="0.35">
      <c r="B948" s="5"/>
      <c r="C948" s="7"/>
      <c r="D948" s="5"/>
      <c r="E948" s="7"/>
      <c r="F948" s="7"/>
      <c r="G948" s="7"/>
      <c r="AK948" s="5"/>
      <c r="AQ948" s="5"/>
    </row>
    <row r="949" spans="2:43" x14ac:dyDescent="0.35">
      <c r="B949" s="5"/>
      <c r="C949" s="7"/>
      <c r="D949" s="5"/>
      <c r="E949" s="7"/>
      <c r="F949" s="7"/>
      <c r="G949" s="7"/>
      <c r="AK949" s="5"/>
      <c r="AQ949" s="5"/>
    </row>
    <row r="950" spans="2:43" x14ac:dyDescent="0.35">
      <c r="B950" s="5"/>
      <c r="C950" s="7"/>
      <c r="D950" s="5"/>
      <c r="E950" s="7"/>
      <c r="F950" s="7"/>
      <c r="G950" s="7"/>
      <c r="AK950" s="5"/>
      <c r="AQ950" s="5"/>
    </row>
    <row r="951" spans="2:43" x14ac:dyDescent="0.35">
      <c r="B951" s="5"/>
      <c r="C951" s="7"/>
      <c r="D951" s="5"/>
      <c r="E951" s="7"/>
      <c r="F951" s="7"/>
      <c r="G951" s="7"/>
      <c r="AK951" s="5"/>
      <c r="AQ951" s="5"/>
    </row>
    <row r="952" spans="2:43" x14ac:dyDescent="0.35">
      <c r="B952" s="5"/>
      <c r="C952" s="7"/>
      <c r="D952" s="5"/>
      <c r="E952" s="7"/>
      <c r="F952" s="7"/>
      <c r="G952" s="7"/>
      <c r="AK952" s="5"/>
      <c r="AQ952" s="5"/>
    </row>
    <row r="953" spans="2:43" x14ac:dyDescent="0.35">
      <c r="B953" s="5"/>
      <c r="C953" s="7"/>
      <c r="D953" s="5"/>
      <c r="E953" s="7"/>
      <c r="F953" s="7"/>
      <c r="G953" s="7"/>
      <c r="AK953" s="5"/>
      <c r="AQ953" s="5"/>
    </row>
    <row r="954" spans="2:43" x14ac:dyDescent="0.35">
      <c r="B954" s="5"/>
      <c r="C954" s="7"/>
      <c r="D954" s="5"/>
      <c r="E954" s="7"/>
      <c r="F954" s="7"/>
      <c r="G954" s="7"/>
      <c r="AK954" s="5"/>
      <c r="AQ954" s="5"/>
    </row>
    <row r="955" spans="2:43" x14ac:dyDescent="0.35">
      <c r="B955" s="5"/>
      <c r="C955" s="7"/>
      <c r="D955" s="5"/>
      <c r="E955" s="7"/>
      <c r="F955" s="7"/>
      <c r="G955" s="7"/>
      <c r="AK955" s="5"/>
      <c r="AQ955" s="5"/>
    </row>
    <row r="956" spans="2:43" x14ac:dyDescent="0.35">
      <c r="B956" s="5"/>
      <c r="C956" s="7"/>
      <c r="D956" s="5"/>
      <c r="E956" s="7"/>
      <c r="F956" s="7"/>
      <c r="G956" s="7"/>
      <c r="AK956" s="5"/>
      <c r="AQ956" s="5"/>
    </row>
    <row r="957" spans="2:43" x14ac:dyDescent="0.35">
      <c r="B957" s="5"/>
      <c r="C957" s="7"/>
      <c r="D957" s="5"/>
      <c r="E957" s="7"/>
      <c r="F957" s="7"/>
      <c r="G957" s="7"/>
      <c r="AK957" s="5"/>
      <c r="AQ957" s="5"/>
    </row>
    <row r="958" spans="2:43" x14ac:dyDescent="0.35">
      <c r="B958" s="5"/>
      <c r="C958" s="7"/>
      <c r="D958" s="5"/>
      <c r="E958" s="7"/>
      <c r="F958" s="7"/>
      <c r="G958" s="7"/>
      <c r="AK958" s="5"/>
      <c r="AQ958" s="5"/>
    </row>
    <row r="959" spans="2:43" x14ac:dyDescent="0.35">
      <c r="B959" s="5"/>
      <c r="C959" s="7"/>
      <c r="D959" s="5"/>
      <c r="E959" s="7"/>
      <c r="F959" s="7"/>
      <c r="G959" s="7"/>
      <c r="AK959" s="5"/>
      <c r="AQ959" s="5"/>
    </row>
    <row r="960" spans="2:43" x14ac:dyDescent="0.35">
      <c r="B960" s="5"/>
      <c r="C960" s="7"/>
      <c r="D960" s="5"/>
      <c r="E960" s="7"/>
      <c r="F960" s="7"/>
      <c r="G960" s="7"/>
      <c r="AK960" s="5"/>
      <c r="AQ960" s="5"/>
    </row>
    <row r="961" spans="2:43" x14ac:dyDescent="0.35">
      <c r="B961" s="5"/>
      <c r="C961" s="7"/>
      <c r="D961" s="5"/>
      <c r="E961" s="7"/>
      <c r="F961" s="7"/>
      <c r="G961" s="7"/>
      <c r="AK961" s="5"/>
      <c r="AQ961" s="5"/>
    </row>
    <row r="962" spans="2:43" x14ac:dyDescent="0.35">
      <c r="B962" s="5"/>
      <c r="C962" s="7"/>
      <c r="D962" s="5"/>
      <c r="E962" s="7"/>
      <c r="F962" s="7"/>
      <c r="G962" s="7"/>
      <c r="AK962" s="5"/>
      <c r="AQ962" s="5"/>
    </row>
    <row r="963" spans="2:43" x14ac:dyDescent="0.35">
      <c r="B963" s="5"/>
      <c r="C963" s="7"/>
      <c r="D963" s="5"/>
      <c r="E963" s="7"/>
      <c r="F963" s="7"/>
      <c r="G963" s="7"/>
      <c r="AK963" s="5"/>
      <c r="AQ963" s="5"/>
    </row>
    <row r="964" spans="2:43" x14ac:dyDescent="0.35">
      <c r="B964" s="5"/>
      <c r="C964" s="7"/>
      <c r="D964" s="5"/>
      <c r="E964" s="7"/>
      <c r="F964" s="7"/>
      <c r="G964" s="7"/>
      <c r="AK964" s="5"/>
      <c r="AQ964" s="5"/>
    </row>
    <row r="965" spans="2:43" x14ac:dyDescent="0.35">
      <c r="B965" s="5"/>
      <c r="C965" s="7"/>
      <c r="D965" s="5"/>
      <c r="E965" s="7"/>
      <c r="F965" s="7"/>
      <c r="G965" s="7"/>
      <c r="AK965" s="5"/>
      <c r="AQ965" s="5"/>
    </row>
    <row r="966" spans="2:43" x14ac:dyDescent="0.35">
      <c r="B966" s="5"/>
      <c r="C966" s="7"/>
      <c r="D966" s="5"/>
      <c r="E966" s="7"/>
      <c r="F966" s="7"/>
      <c r="G966" s="7"/>
      <c r="AK966" s="5"/>
      <c r="AQ966" s="5"/>
    </row>
    <row r="967" spans="2:43" x14ac:dyDescent="0.35">
      <c r="B967" s="5"/>
      <c r="C967" s="7"/>
      <c r="D967" s="5"/>
      <c r="E967" s="7"/>
      <c r="F967" s="7"/>
      <c r="G967" s="7"/>
      <c r="AK967" s="5"/>
      <c r="AQ967" s="5"/>
    </row>
    <row r="968" spans="2:43" x14ac:dyDescent="0.35">
      <c r="B968" s="5"/>
      <c r="C968" s="7"/>
      <c r="D968" s="5"/>
      <c r="E968" s="7"/>
      <c r="F968" s="7"/>
      <c r="G968" s="7"/>
      <c r="AK968" s="5"/>
      <c r="AQ968" s="5"/>
    </row>
    <row r="969" spans="2:43" x14ac:dyDescent="0.35">
      <c r="B969" s="5"/>
      <c r="C969" s="7"/>
      <c r="D969" s="5"/>
      <c r="E969" s="7"/>
      <c r="F969" s="7"/>
      <c r="G969" s="7"/>
      <c r="AK969" s="5"/>
      <c r="AQ969" s="5"/>
    </row>
    <row r="970" spans="2:43" x14ac:dyDescent="0.35">
      <c r="B970" s="5"/>
      <c r="C970" s="7"/>
      <c r="D970" s="5"/>
      <c r="E970" s="7"/>
      <c r="F970" s="7"/>
      <c r="G970" s="7"/>
      <c r="AK970" s="5"/>
      <c r="AQ970" s="5"/>
    </row>
    <row r="971" spans="2:43" x14ac:dyDescent="0.35">
      <c r="B971" s="5"/>
      <c r="C971" s="7"/>
      <c r="D971" s="5"/>
      <c r="E971" s="7"/>
      <c r="F971" s="7"/>
      <c r="G971" s="7"/>
      <c r="AK971" s="5"/>
      <c r="AQ971" s="5"/>
    </row>
    <row r="972" spans="2:43" x14ac:dyDescent="0.35">
      <c r="B972" s="5"/>
      <c r="C972" s="7"/>
      <c r="D972" s="5"/>
      <c r="E972" s="7"/>
      <c r="F972" s="7"/>
      <c r="G972" s="7"/>
      <c r="AK972" s="5"/>
      <c r="AQ972" s="5"/>
    </row>
    <row r="973" spans="2:43" x14ac:dyDescent="0.35">
      <c r="B973" s="5"/>
      <c r="C973" s="7"/>
      <c r="D973" s="5"/>
      <c r="E973" s="7"/>
      <c r="F973" s="7"/>
      <c r="G973" s="7"/>
      <c r="AK973" s="5"/>
      <c r="AQ973" s="5"/>
    </row>
    <row r="974" spans="2:43" x14ac:dyDescent="0.35">
      <c r="B974" s="5"/>
      <c r="C974" s="7"/>
      <c r="D974" s="5"/>
      <c r="E974" s="7"/>
      <c r="F974" s="7"/>
      <c r="G974" s="7"/>
      <c r="AK974" s="5"/>
      <c r="AQ974" s="5"/>
    </row>
    <row r="975" spans="2:43" x14ac:dyDescent="0.35">
      <c r="B975" s="5"/>
      <c r="C975" s="7"/>
      <c r="D975" s="5"/>
      <c r="E975" s="7"/>
      <c r="F975" s="7"/>
      <c r="G975" s="7"/>
      <c r="AK975" s="5"/>
      <c r="AQ975" s="5"/>
    </row>
    <row r="976" spans="2:43" x14ac:dyDescent="0.35">
      <c r="B976" s="5"/>
      <c r="C976" s="7"/>
      <c r="D976" s="5"/>
      <c r="E976" s="7"/>
      <c r="F976" s="7"/>
      <c r="G976" s="7"/>
      <c r="AK976" s="5"/>
      <c r="AQ976" s="5"/>
    </row>
    <row r="977" spans="2:43" x14ac:dyDescent="0.35">
      <c r="B977" s="5"/>
      <c r="C977" s="7"/>
      <c r="D977" s="5"/>
      <c r="E977" s="7"/>
      <c r="F977" s="7"/>
      <c r="G977" s="7"/>
      <c r="AK977" s="5"/>
      <c r="AQ977" s="5"/>
    </row>
    <row r="978" spans="2:43" x14ac:dyDescent="0.35">
      <c r="B978" s="5"/>
      <c r="C978" s="7"/>
      <c r="D978" s="5"/>
      <c r="E978" s="7"/>
      <c r="F978" s="7"/>
      <c r="G978" s="7"/>
      <c r="AK978" s="5"/>
      <c r="AQ978" s="5"/>
    </row>
    <row r="979" spans="2:43" x14ac:dyDescent="0.35">
      <c r="B979" s="5"/>
      <c r="C979" s="7"/>
      <c r="D979" s="5"/>
      <c r="E979" s="7"/>
      <c r="F979" s="7"/>
      <c r="G979" s="7"/>
      <c r="AK979" s="5"/>
      <c r="AQ979" s="5"/>
    </row>
    <row r="980" spans="2:43" x14ac:dyDescent="0.35">
      <c r="B980" s="5"/>
      <c r="C980" s="7"/>
      <c r="D980" s="5"/>
      <c r="E980" s="7"/>
      <c r="F980" s="7"/>
      <c r="G980" s="7"/>
      <c r="AK980" s="5"/>
      <c r="AQ980" s="5"/>
    </row>
    <row r="981" spans="2:43" x14ac:dyDescent="0.35">
      <c r="B981" s="5"/>
      <c r="C981" s="7"/>
      <c r="D981" s="5"/>
      <c r="E981" s="7"/>
      <c r="F981" s="7"/>
      <c r="G981" s="7"/>
      <c r="AK981" s="5"/>
      <c r="AQ981" s="5"/>
    </row>
    <row r="982" spans="2:43" x14ac:dyDescent="0.35">
      <c r="B982" s="5"/>
      <c r="C982" s="7"/>
      <c r="D982" s="5"/>
      <c r="E982" s="7"/>
      <c r="F982" s="7"/>
      <c r="G982" s="7"/>
      <c r="AK982" s="5"/>
      <c r="AQ982" s="5"/>
    </row>
    <row r="983" spans="2:43" x14ac:dyDescent="0.35">
      <c r="B983" s="5"/>
      <c r="C983" s="7"/>
      <c r="D983" s="5"/>
      <c r="E983" s="7"/>
      <c r="F983" s="7"/>
      <c r="G983" s="7"/>
      <c r="AK983" s="5"/>
      <c r="AQ983" s="5"/>
    </row>
    <row r="984" spans="2:43" x14ac:dyDescent="0.35">
      <c r="B984" s="5"/>
      <c r="C984" s="7"/>
      <c r="D984" s="5"/>
      <c r="E984" s="7"/>
      <c r="F984" s="7"/>
      <c r="G984" s="7"/>
      <c r="AK984" s="5"/>
      <c r="AQ984" s="5"/>
    </row>
    <row r="985" spans="2:43" x14ac:dyDescent="0.35">
      <c r="B985" s="5"/>
      <c r="C985" s="7"/>
      <c r="D985" s="5"/>
      <c r="E985" s="7"/>
      <c r="F985" s="7"/>
      <c r="G985" s="7"/>
      <c r="AK985" s="5"/>
      <c r="AQ985" s="5"/>
    </row>
    <row r="986" spans="2:43" x14ac:dyDescent="0.35">
      <c r="B986" s="5"/>
      <c r="C986" s="7"/>
      <c r="D986" s="5"/>
      <c r="E986" s="7"/>
      <c r="F986" s="7"/>
      <c r="G986" s="7"/>
      <c r="AK986" s="5"/>
      <c r="AQ986" s="5"/>
    </row>
    <row r="987" spans="2:43" x14ac:dyDescent="0.35">
      <c r="B987" s="5"/>
      <c r="C987" s="7"/>
      <c r="D987" s="5"/>
      <c r="E987" s="7"/>
      <c r="F987" s="7"/>
      <c r="G987" s="7"/>
      <c r="AK987" s="5"/>
      <c r="AQ987" s="5"/>
    </row>
    <row r="988" spans="2:43" x14ac:dyDescent="0.35">
      <c r="B988" s="5"/>
      <c r="C988" s="7"/>
      <c r="D988" s="5"/>
      <c r="E988" s="7"/>
      <c r="F988" s="7"/>
      <c r="G988" s="7"/>
      <c r="AK988" s="5"/>
      <c r="AQ988" s="5"/>
    </row>
    <row r="989" spans="2:43" x14ac:dyDescent="0.35">
      <c r="B989" s="5"/>
      <c r="C989" s="7"/>
      <c r="D989" s="5"/>
      <c r="E989" s="7"/>
      <c r="F989" s="7"/>
      <c r="G989" s="7"/>
      <c r="AK989" s="5"/>
      <c r="AQ989" s="5"/>
    </row>
    <row r="990" spans="2:43" x14ac:dyDescent="0.35">
      <c r="B990" s="5"/>
      <c r="C990" s="7"/>
      <c r="D990" s="5"/>
      <c r="E990" s="7"/>
      <c r="F990" s="7"/>
      <c r="G990" s="7"/>
      <c r="AK990" s="5"/>
      <c r="AQ990" s="5"/>
    </row>
    <row r="991" spans="2:43" x14ac:dyDescent="0.35">
      <c r="B991" s="5"/>
      <c r="C991" s="7"/>
      <c r="D991" s="5"/>
      <c r="E991" s="7"/>
      <c r="F991" s="7"/>
      <c r="G991" s="7"/>
      <c r="AK991" s="5"/>
      <c r="AQ991" s="5"/>
    </row>
    <row r="992" spans="2:43" x14ac:dyDescent="0.35">
      <c r="B992" s="5"/>
      <c r="C992" s="7"/>
      <c r="D992" s="5"/>
      <c r="E992" s="7"/>
      <c r="F992" s="7"/>
      <c r="G992" s="7"/>
      <c r="AK992" s="5"/>
      <c r="AQ992" s="5"/>
    </row>
    <row r="993" spans="2:43" x14ac:dyDescent="0.35">
      <c r="B993" s="5"/>
      <c r="C993" s="7"/>
      <c r="D993" s="5"/>
      <c r="E993" s="7"/>
      <c r="F993" s="7"/>
      <c r="G993" s="7"/>
      <c r="AK993" s="5"/>
      <c r="AQ993" s="5"/>
    </row>
    <row r="994" spans="2:43" x14ac:dyDescent="0.35">
      <c r="B994" s="5"/>
      <c r="C994" s="7"/>
      <c r="D994" s="5"/>
      <c r="E994" s="7"/>
      <c r="F994" s="7"/>
      <c r="G994" s="7"/>
      <c r="AK994" s="5"/>
      <c r="AQ994" s="5"/>
    </row>
    <row r="995" spans="2:43" x14ac:dyDescent="0.35">
      <c r="B995" s="5"/>
      <c r="C995" s="7"/>
      <c r="D995" s="5"/>
      <c r="E995" s="7"/>
      <c r="F995" s="7"/>
      <c r="G995" s="7"/>
      <c r="AK995" s="5"/>
      <c r="AQ995" s="5"/>
    </row>
    <row r="996" spans="2:43" x14ac:dyDescent="0.35">
      <c r="B996" s="5"/>
      <c r="C996" s="7"/>
      <c r="D996" s="5"/>
      <c r="E996" s="7"/>
      <c r="F996" s="7"/>
      <c r="G996" s="7"/>
      <c r="AK996" s="5"/>
      <c r="AQ996" s="5"/>
    </row>
    <row r="997" spans="2:43" x14ac:dyDescent="0.35">
      <c r="B997" s="5"/>
      <c r="C997" s="7"/>
      <c r="D997" s="5"/>
      <c r="E997" s="7"/>
      <c r="F997" s="7"/>
      <c r="G997" s="7"/>
      <c r="AK997" s="5"/>
      <c r="AQ997" s="5"/>
    </row>
    <row r="998" spans="2:43" x14ac:dyDescent="0.35">
      <c r="B998" s="5"/>
      <c r="C998" s="7"/>
      <c r="D998" s="5"/>
      <c r="E998" s="7"/>
      <c r="F998" s="7"/>
      <c r="G998" s="7"/>
      <c r="AK998" s="5"/>
      <c r="AQ998" s="5"/>
    </row>
    <row r="999" spans="2:43" x14ac:dyDescent="0.35">
      <c r="B999" s="5"/>
      <c r="C999" s="7"/>
      <c r="D999" s="5"/>
      <c r="E999" s="7"/>
      <c r="F999" s="7"/>
      <c r="G999" s="7"/>
      <c r="AK999" s="5"/>
      <c r="AQ999" s="5"/>
    </row>
    <row r="1000" spans="2:43" x14ac:dyDescent="0.35">
      <c r="B1000" s="5"/>
      <c r="C1000" s="7"/>
      <c r="D1000" s="5"/>
      <c r="E1000" s="7"/>
      <c r="F1000" s="7"/>
      <c r="G1000" s="7"/>
      <c r="AK1000" s="5"/>
      <c r="AQ1000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6FA8-18B0-4310-8277-7F5817AE1C40}">
  <dimension ref="A1:H18"/>
  <sheetViews>
    <sheetView workbookViewId="0"/>
  </sheetViews>
  <sheetFormatPr defaultRowHeight="14.5" x14ac:dyDescent="0.35"/>
  <cols>
    <col min="1" max="1" width="9.26953125" customWidth="1"/>
    <col min="2" max="2" width="59.81640625" bestFit="1" customWidth="1"/>
    <col min="3" max="3" width="40.36328125" bestFit="1" customWidth="1"/>
    <col min="4" max="4" width="13" customWidth="1"/>
    <col min="5" max="5" width="20.26953125" customWidth="1"/>
    <col min="6" max="6" width="15.7265625" bestFit="1" customWidth="1"/>
    <col min="7" max="7" width="13.81640625" customWidth="1"/>
    <col min="8" max="8" width="17.7265625" customWidth="1"/>
  </cols>
  <sheetData>
    <row r="1" spans="1:8" x14ac:dyDescent="0.35">
      <c r="A1" s="3" t="s">
        <v>119</v>
      </c>
      <c r="B1" s="3" t="s">
        <v>120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</row>
    <row r="2" spans="1:8" x14ac:dyDescent="0.35">
      <c r="A2" t="s">
        <v>127</v>
      </c>
      <c r="B2" t="s">
        <v>128</v>
      </c>
      <c r="C2" t="s">
        <v>129</v>
      </c>
      <c r="D2" t="s">
        <v>112</v>
      </c>
      <c r="E2" t="s">
        <v>112</v>
      </c>
      <c r="F2" t="s">
        <v>130</v>
      </c>
      <c r="G2" t="s">
        <v>18</v>
      </c>
      <c r="H2">
        <v>1</v>
      </c>
    </row>
    <row r="3" spans="1:8" x14ac:dyDescent="0.35">
      <c r="A3" t="s">
        <v>131</v>
      </c>
      <c r="B3" t="s">
        <v>132</v>
      </c>
      <c r="C3" t="s">
        <v>133</v>
      </c>
      <c r="D3" t="s">
        <v>112</v>
      </c>
      <c r="E3" t="s">
        <v>112</v>
      </c>
      <c r="F3" t="s">
        <v>134</v>
      </c>
      <c r="G3" t="s">
        <v>18</v>
      </c>
      <c r="H3">
        <v>2</v>
      </c>
    </row>
    <row r="4" spans="1:8" x14ac:dyDescent="0.35">
      <c r="A4" t="s">
        <v>135</v>
      </c>
      <c r="B4" t="s">
        <v>136</v>
      </c>
      <c r="C4" t="s">
        <v>137</v>
      </c>
      <c r="D4" t="s">
        <v>112</v>
      </c>
      <c r="E4" t="s">
        <v>112</v>
      </c>
      <c r="F4" t="s">
        <v>134</v>
      </c>
      <c r="G4" t="s">
        <v>18</v>
      </c>
      <c r="H4">
        <v>3</v>
      </c>
    </row>
    <row r="5" spans="1:8" x14ac:dyDescent="0.35">
      <c r="A5" t="s">
        <v>138</v>
      </c>
      <c r="B5" t="s">
        <v>139</v>
      </c>
      <c r="C5" t="s">
        <v>140</v>
      </c>
      <c r="D5" t="s">
        <v>112</v>
      </c>
      <c r="E5" t="s">
        <v>112</v>
      </c>
      <c r="F5" t="s">
        <v>134</v>
      </c>
      <c r="G5" t="s">
        <v>18</v>
      </c>
      <c r="H5">
        <v>4</v>
      </c>
    </row>
    <row r="6" spans="1:8" x14ac:dyDescent="0.35">
      <c r="A6" t="s">
        <v>141</v>
      </c>
      <c r="B6" t="s">
        <v>77</v>
      </c>
      <c r="C6" t="s">
        <v>142</v>
      </c>
      <c r="D6" t="s">
        <v>112</v>
      </c>
      <c r="E6" t="s">
        <v>112</v>
      </c>
      <c r="F6" t="s">
        <v>143</v>
      </c>
      <c r="G6" t="s">
        <v>18</v>
      </c>
      <c r="H6">
        <v>5</v>
      </c>
    </row>
    <row r="7" spans="1:8" x14ac:dyDescent="0.35">
      <c r="A7" t="s">
        <v>144</v>
      </c>
      <c r="B7" t="s">
        <v>145</v>
      </c>
      <c r="C7" t="s">
        <v>146</v>
      </c>
      <c r="D7" t="s">
        <v>112</v>
      </c>
      <c r="E7" t="s">
        <v>112</v>
      </c>
      <c r="F7" t="s">
        <v>143</v>
      </c>
      <c r="G7" t="s">
        <v>18</v>
      </c>
      <c r="H7">
        <v>6</v>
      </c>
    </row>
    <row r="8" spans="1:8" x14ac:dyDescent="0.35">
      <c r="A8" t="s">
        <v>147</v>
      </c>
      <c r="B8" t="s">
        <v>148</v>
      </c>
      <c r="C8" t="s">
        <v>149</v>
      </c>
      <c r="D8" t="s">
        <v>112</v>
      </c>
      <c r="E8" t="s">
        <v>112</v>
      </c>
      <c r="F8" t="s">
        <v>130</v>
      </c>
      <c r="G8" t="s">
        <v>18</v>
      </c>
      <c r="H8">
        <v>7</v>
      </c>
    </row>
    <row r="9" spans="1:8" x14ac:dyDescent="0.35">
      <c r="A9" t="s">
        <v>150</v>
      </c>
      <c r="B9" t="s">
        <v>98</v>
      </c>
      <c r="C9" t="s">
        <v>151</v>
      </c>
      <c r="D9" t="s">
        <v>112</v>
      </c>
      <c r="E9" t="s">
        <v>112</v>
      </c>
      <c r="F9" t="s">
        <v>130</v>
      </c>
      <c r="G9" t="s">
        <v>18</v>
      </c>
      <c r="H9">
        <v>8</v>
      </c>
    </row>
    <row r="10" spans="1:8" x14ac:dyDescent="0.35">
      <c r="A10" t="s">
        <v>152</v>
      </c>
      <c r="B10" t="s">
        <v>153</v>
      </c>
      <c r="C10" t="s">
        <v>154</v>
      </c>
      <c r="D10" t="s">
        <v>112</v>
      </c>
      <c r="E10" t="s">
        <v>112</v>
      </c>
      <c r="F10" t="s">
        <v>155</v>
      </c>
      <c r="G10" t="s">
        <v>18</v>
      </c>
      <c r="H10">
        <v>9</v>
      </c>
    </row>
    <row r="11" spans="1:8" x14ac:dyDescent="0.35">
      <c r="A11" t="s">
        <v>156</v>
      </c>
      <c r="B11" t="s">
        <v>157</v>
      </c>
      <c r="C11" t="s">
        <v>158</v>
      </c>
      <c r="D11" t="s">
        <v>112</v>
      </c>
      <c r="E11" t="s">
        <v>112</v>
      </c>
      <c r="F11" t="s">
        <v>143</v>
      </c>
      <c r="G11" t="s">
        <v>18</v>
      </c>
      <c r="H11">
        <v>10</v>
      </c>
    </row>
    <row r="12" spans="1:8" x14ac:dyDescent="0.35">
      <c r="A12" t="s">
        <v>159</v>
      </c>
      <c r="B12" t="s">
        <v>160</v>
      </c>
      <c r="C12" t="s">
        <v>161</v>
      </c>
      <c r="D12" t="s">
        <v>112</v>
      </c>
      <c r="E12" t="s">
        <v>112</v>
      </c>
      <c r="F12" t="s">
        <v>130</v>
      </c>
      <c r="G12" t="s">
        <v>18</v>
      </c>
      <c r="H12">
        <v>11</v>
      </c>
    </row>
    <row r="13" spans="1:8" x14ac:dyDescent="0.35">
      <c r="A13" t="s">
        <v>162</v>
      </c>
      <c r="B13" t="s">
        <v>163</v>
      </c>
      <c r="C13" t="s">
        <v>164</v>
      </c>
      <c r="D13" t="s">
        <v>92</v>
      </c>
      <c r="E13" t="s">
        <v>112</v>
      </c>
      <c r="F13" t="s">
        <v>165</v>
      </c>
      <c r="G13" t="s">
        <v>18</v>
      </c>
      <c r="H13">
        <v>12</v>
      </c>
    </row>
    <row r="14" spans="1:8" x14ac:dyDescent="0.35">
      <c r="A14" t="s">
        <v>166</v>
      </c>
      <c r="B14" t="s">
        <v>167</v>
      </c>
      <c r="C14" t="s">
        <v>168</v>
      </c>
      <c r="D14" t="s">
        <v>112</v>
      </c>
      <c r="E14" t="s">
        <v>112</v>
      </c>
      <c r="F14" t="s">
        <v>143</v>
      </c>
      <c r="G14" t="s">
        <v>18</v>
      </c>
      <c r="H14">
        <v>13</v>
      </c>
    </row>
    <row r="15" spans="1:8" x14ac:dyDescent="0.35">
      <c r="A15" t="s">
        <v>169</v>
      </c>
      <c r="B15" t="s">
        <v>170</v>
      </c>
      <c r="C15" t="s">
        <v>171</v>
      </c>
      <c r="D15" t="s">
        <v>112</v>
      </c>
      <c r="E15" t="s">
        <v>112</v>
      </c>
      <c r="F15" t="s">
        <v>172</v>
      </c>
      <c r="G15" t="s">
        <v>18</v>
      </c>
      <c r="H15">
        <v>14</v>
      </c>
    </row>
    <row r="16" spans="1:8" x14ac:dyDescent="0.35">
      <c r="A16" t="s">
        <v>173</v>
      </c>
      <c r="B16" t="s">
        <v>174</v>
      </c>
      <c r="C16" t="s">
        <v>175</v>
      </c>
      <c r="D16" t="s">
        <v>112</v>
      </c>
      <c r="E16" t="s">
        <v>112</v>
      </c>
      <c r="F16" t="s">
        <v>130</v>
      </c>
      <c r="G16" t="s">
        <v>18</v>
      </c>
      <c r="H16">
        <v>15</v>
      </c>
    </row>
    <row r="17" spans="1:8" x14ac:dyDescent="0.35">
      <c r="A17" t="s">
        <v>176</v>
      </c>
      <c r="B17" t="s">
        <v>177</v>
      </c>
      <c r="C17" t="s">
        <v>178</v>
      </c>
      <c r="D17" t="s">
        <v>112</v>
      </c>
      <c r="E17" t="s">
        <v>112</v>
      </c>
      <c r="F17" t="s">
        <v>130</v>
      </c>
      <c r="G17" t="s">
        <v>18</v>
      </c>
      <c r="H17">
        <v>16</v>
      </c>
    </row>
    <row r="18" spans="1:8" x14ac:dyDescent="0.35">
      <c r="A18" t="s">
        <v>179</v>
      </c>
      <c r="B18" t="s">
        <v>180</v>
      </c>
      <c r="C18" t="s">
        <v>181</v>
      </c>
      <c r="D18" t="s">
        <v>92</v>
      </c>
      <c r="E18" t="s">
        <v>112</v>
      </c>
      <c r="F18" t="s">
        <v>182</v>
      </c>
      <c r="G18" t="s">
        <v>18</v>
      </c>
      <c r="H18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8687-E622-4568-9C8D-E1DE7757CF23}">
  <dimension ref="A1:H7"/>
  <sheetViews>
    <sheetView workbookViewId="0"/>
  </sheetViews>
  <sheetFormatPr defaultRowHeight="14.5" x14ac:dyDescent="0.35"/>
  <cols>
    <col min="1" max="1" width="13.90625" customWidth="1"/>
    <col min="2" max="2" width="23.08984375" bestFit="1" customWidth="1"/>
    <col min="3" max="3" width="20.26953125" customWidth="1"/>
    <col min="4" max="4" width="14.90625" customWidth="1"/>
    <col min="5" max="5" width="14.1796875" bestFit="1" customWidth="1"/>
    <col min="6" max="6" width="29.08984375" bestFit="1" customWidth="1"/>
    <col min="7" max="8" width="18.453125" customWidth="1"/>
  </cols>
  <sheetData>
    <row r="1" spans="1:8" x14ac:dyDescent="0.35">
      <c r="A1" s="3" t="s">
        <v>46</v>
      </c>
      <c r="B1" s="3" t="s">
        <v>47</v>
      </c>
      <c r="C1" s="3" t="s">
        <v>48</v>
      </c>
      <c r="D1" s="3" t="s">
        <v>183</v>
      </c>
      <c r="E1" s="3" t="s">
        <v>184</v>
      </c>
      <c r="F1" s="3" t="s">
        <v>2</v>
      </c>
      <c r="G1" s="3" t="s">
        <v>185</v>
      </c>
      <c r="H1" s="3" t="s">
        <v>186</v>
      </c>
    </row>
    <row r="2" spans="1:8" x14ac:dyDescent="0.35">
      <c r="A2" t="s">
        <v>78</v>
      </c>
      <c r="B2" t="s">
        <v>79</v>
      </c>
      <c r="C2" t="s">
        <v>80</v>
      </c>
      <c r="D2" t="s">
        <v>187</v>
      </c>
      <c r="E2" t="s">
        <v>188</v>
      </c>
      <c r="F2" t="s">
        <v>189</v>
      </c>
      <c r="G2" t="s">
        <v>16</v>
      </c>
      <c r="H2" t="s">
        <v>190</v>
      </c>
    </row>
    <row r="3" spans="1:8" x14ac:dyDescent="0.35">
      <c r="A3" t="s">
        <v>99</v>
      </c>
      <c r="B3" t="s">
        <v>100</v>
      </c>
      <c r="C3" t="s">
        <v>101</v>
      </c>
      <c r="D3" t="s">
        <v>191</v>
      </c>
      <c r="E3" t="s">
        <v>192</v>
      </c>
      <c r="F3" t="s">
        <v>193</v>
      </c>
      <c r="G3" t="s">
        <v>16</v>
      </c>
      <c r="H3" t="s">
        <v>190</v>
      </c>
    </row>
    <row r="4" spans="1:8" x14ac:dyDescent="0.35">
      <c r="A4" t="s">
        <v>194</v>
      </c>
      <c r="B4" t="s">
        <v>195</v>
      </c>
      <c r="C4" t="s">
        <v>196</v>
      </c>
      <c r="D4" t="s">
        <v>197</v>
      </c>
      <c r="E4" t="s">
        <v>198</v>
      </c>
      <c r="F4" t="s">
        <v>199</v>
      </c>
      <c r="G4" t="s">
        <v>200</v>
      </c>
      <c r="H4" t="s">
        <v>190</v>
      </c>
    </row>
    <row r="5" spans="1:8" x14ac:dyDescent="0.35">
      <c r="A5" t="s">
        <v>201</v>
      </c>
      <c r="B5" t="s">
        <v>202</v>
      </c>
      <c r="C5" t="s">
        <v>203</v>
      </c>
      <c r="D5" t="s">
        <v>204</v>
      </c>
      <c r="E5" t="s">
        <v>205</v>
      </c>
      <c r="F5" t="s">
        <v>206</v>
      </c>
      <c r="G5" t="s">
        <v>207</v>
      </c>
      <c r="H5" t="s">
        <v>190</v>
      </c>
    </row>
    <row r="6" spans="1:8" x14ac:dyDescent="0.35">
      <c r="A6" t="s">
        <v>208</v>
      </c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190</v>
      </c>
    </row>
    <row r="7" spans="1:8" x14ac:dyDescent="0.35">
      <c r="A7" t="s">
        <v>215</v>
      </c>
      <c r="B7" t="s">
        <v>180</v>
      </c>
      <c r="G7" t="s">
        <v>31</v>
      </c>
      <c r="H7" t="s">
        <v>190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0F11-89A8-4B04-9B01-31982C3F66E6}">
  <dimension ref="A1:J1000"/>
  <sheetViews>
    <sheetView workbookViewId="0"/>
  </sheetViews>
  <sheetFormatPr defaultRowHeight="14.5" x14ac:dyDescent="0.35"/>
  <cols>
    <col min="1" max="1" width="10.08984375" bestFit="1" customWidth="1"/>
    <col min="2" max="2" width="14.26953125" customWidth="1"/>
    <col min="3" max="3" width="8.36328125" bestFit="1" customWidth="1"/>
    <col min="4" max="4" width="26.36328125" bestFit="1" customWidth="1"/>
    <col min="5" max="5" width="16.6328125" bestFit="1" customWidth="1"/>
    <col min="6" max="6" width="12.453125" customWidth="1"/>
    <col min="7" max="7" width="12.90625" customWidth="1"/>
    <col min="8" max="8" width="19.81640625" customWidth="1"/>
    <col min="9" max="9" width="23.453125" customWidth="1"/>
    <col min="10" max="10" width="29.90625" bestFit="1" customWidth="1"/>
  </cols>
  <sheetData>
    <row r="1" spans="1:10" x14ac:dyDescent="0.35">
      <c r="A1" s="3" t="s">
        <v>216</v>
      </c>
      <c r="B1" s="3" t="s">
        <v>33</v>
      </c>
      <c r="C1" s="3" t="s">
        <v>217</v>
      </c>
      <c r="D1" s="3" t="s">
        <v>218</v>
      </c>
      <c r="E1" s="3" t="s">
        <v>219</v>
      </c>
      <c r="F1" s="3" t="s">
        <v>220</v>
      </c>
      <c r="G1" s="3" t="s">
        <v>221</v>
      </c>
      <c r="H1" s="3" t="s">
        <v>222</v>
      </c>
      <c r="I1" s="3" t="s">
        <v>223</v>
      </c>
      <c r="J1" s="3" t="s">
        <v>224</v>
      </c>
    </row>
    <row r="2" spans="1:10" x14ac:dyDescent="0.35">
      <c r="A2" t="s">
        <v>225</v>
      </c>
      <c r="B2" t="s">
        <v>76</v>
      </c>
      <c r="C2" t="s">
        <v>226</v>
      </c>
      <c r="D2" t="s">
        <v>227</v>
      </c>
      <c r="E2" t="s">
        <v>228</v>
      </c>
      <c r="F2" s="5">
        <v>46230</v>
      </c>
      <c r="G2" s="7">
        <v>0.37847222222222221</v>
      </c>
      <c r="H2" t="s">
        <v>85</v>
      </c>
      <c r="I2" t="s">
        <v>12</v>
      </c>
      <c r="J2" t="s">
        <v>229</v>
      </c>
    </row>
    <row r="3" spans="1:10" x14ac:dyDescent="0.35">
      <c r="A3" t="s">
        <v>230</v>
      </c>
      <c r="B3" t="s">
        <v>76</v>
      </c>
      <c r="C3" t="s">
        <v>226</v>
      </c>
      <c r="D3" t="s">
        <v>231</v>
      </c>
      <c r="E3" t="s">
        <v>232</v>
      </c>
      <c r="F3" s="5">
        <v>46230</v>
      </c>
      <c r="G3" s="7">
        <v>0.42708333333333331</v>
      </c>
      <c r="H3" t="s">
        <v>85</v>
      </c>
      <c r="I3" t="s">
        <v>12</v>
      </c>
      <c r="J3" t="s">
        <v>233</v>
      </c>
    </row>
    <row r="4" spans="1:10" x14ac:dyDescent="0.35">
      <c r="A4" t="s">
        <v>234</v>
      </c>
      <c r="B4" t="s">
        <v>76</v>
      </c>
      <c r="C4" t="s">
        <v>226</v>
      </c>
      <c r="D4" t="s">
        <v>235</v>
      </c>
      <c r="E4" t="s">
        <v>232</v>
      </c>
      <c r="F4" s="5">
        <v>46230</v>
      </c>
      <c r="G4" s="7">
        <v>0.4375</v>
      </c>
      <c r="H4" t="s">
        <v>85</v>
      </c>
      <c r="I4" t="s">
        <v>12</v>
      </c>
      <c r="J4" t="s">
        <v>236</v>
      </c>
    </row>
    <row r="5" spans="1:10" x14ac:dyDescent="0.35">
      <c r="A5" t="s">
        <v>237</v>
      </c>
      <c r="B5" t="s">
        <v>97</v>
      </c>
      <c r="C5" t="s">
        <v>226</v>
      </c>
      <c r="D5" t="s">
        <v>238</v>
      </c>
      <c r="E5" t="s">
        <v>228</v>
      </c>
      <c r="F5" s="5">
        <v>46230</v>
      </c>
      <c r="G5" s="7">
        <v>0.60763888888888884</v>
      </c>
      <c r="H5" t="s">
        <v>106</v>
      </c>
      <c r="I5" t="s">
        <v>12</v>
      </c>
      <c r="J5" t="s">
        <v>239</v>
      </c>
    </row>
    <row r="6" spans="1:10" x14ac:dyDescent="0.35">
      <c r="A6" t="s">
        <v>240</v>
      </c>
      <c r="B6" t="s">
        <v>97</v>
      </c>
      <c r="C6" t="s">
        <v>226</v>
      </c>
      <c r="D6" t="s">
        <v>241</v>
      </c>
      <c r="E6" t="s">
        <v>232</v>
      </c>
      <c r="F6" s="5">
        <v>46230</v>
      </c>
      <c r="G6" s="7">
        <v>0.63888888888888884</v>
      </c>
      <c r="H6" t="s">
        <v>106</v>
      </c>
      <c r="I6" t="s">
        <v>12</v>
      </c>
      <c r="J6" t="s">
        <v>242</v>
      </c>
    </row>
    <row r="7" spans="1:10" x14ac:dyDescent="0.35">
      <c r="A7" t="s">
        <v>243</v>
      </c>
      <c r="B7" t="s">
        <v>97</v>
      </c>
      <c r="C7" t="s">
        <v>226</v>
      </c>
      <c r="D7" t="s">
        <v>244</v>
      </c>
      <c r="E7" t="s">
        <v>245</v>
      </c>
      <c r="F7" s="5">
        <v>46230</v>
      </c>
      <c r="G7" s="7">
        <v>0.66666666666666663</v>
      </c>
      <c r="H7" t="s">
        <v>106</v>
      </c>
      <c r="I7" t="s">
        <v>12</v>
      </c>
      <c r="J7" t="s">
        <v>246</v>
      </c>
    </row>
    <row r="8" spans="1:10" x14ac:dyDescent="0.35">
      <c r="A8" t="s">
        <v>247</v>
      </c>
      <c r="B8" t="s">
        <v>97</v>
      </c>
      <c r="C8" t="s">
        <v>226</v>
      </c>
      <c r="D8" t="s">
        <v>248</v>
      </c>
      <c r="E8" t="s">
        <v>249</v>
      </c>
      <c r="F8" s="5">
        <v>46230</v>
      </c>
      <c r="G8" s="7">
        <v>0.67708333333333337</v>
      </c>
      <c r="H8" t="s">
        <v>106</v>
      </c>
      <c r="I8" t="s">
        <v>12</v>
      </c>
      <c r="J8" t="s">
        <v>250</v>
      </c>
    </row>
    <row r="9" spans="1:10" x14ac:dyDescent="0.35">
      <c r="A9" t="s">
        <v>251</v>
      </c>
      <c r="B9" t="s">
        <v>97</v>
      </c>
      <c r="C9" t="s">
        <v>226</v>
      </c>
      <c r="D9" t="s">
        <v>252</v>
      </c>
      <c r="E9" t="s">
        <v>253</v>
      </c>
      <c r="F9" s="5">
        <v>46230</v>
      </c>
      <c r="G9" s="7">
        <v>0.69791666666666663</v>
      </c>
      <c r="H9" t="s">
        <v>106</v>
      </c>
      <c r="I9" t="s">
        <v>12</v>
      </c>
      <c r="J9" t="s">
        <v>254</v>
      </c>
    </row>
    <row r="10" spans="1:10" x14ac:dyDescent="0.35">
      <c r="F10" s="5"/>
      <c r="G10" s="7"/>
    </row>
    <row r="11" spans="1:10" x14ac:dyDescent="0.35">
      <c r="F11" s="5"/>
      <c r="G11" s="7"/>
    </row>
    <row r="12" spans="1:10" x14ac:dyDescent="0.35">
      <c r="F12" s="5"/>
      <c r="G12" s="7"/>
    </row>
    <row r="13" spans="1:10" x14ac:dyDescent="0.35">
      <c r="F13" s="5"/>
      <c r="G13" s="7"/>
    </row>
    <row r="14" spans="1:10" x14ac:dyDescent="0.35">
      <c r="F14" s="5"/>
      <c r="G14" s="7"/>
    </row>
    <row r="15" spans="1:10" x14ac:dyDescent="0.35">
      <c r="F15" s="5"/>
      <c r="G15" s="7"/>
    </row>
    <row r="16" spans="1:10" x14ac:dyDescent="0.35">
      <c r="F16" s="5"/>
      <c r="G16" s="7"/>
    </row>
    <row r="17" spans="6:7" x14ac:dyDescent="0.35">
      <c r="F17" s="5"/>
      <c r="G17" s="7"/>
    </row>
    <row r="18" spans="6:7" x14ac:dyDescent="0.35">
      <c r="F18" s="5"/>
      <c r="G18" s="7"/>
    </row>
    <row r="19" spans="6:7" x14ac:dyDescent="0.35">
      <c r="F19" s="5"/>
      <c r="G19" s="7"/>
    </row>
    <row r="20" spans="6:7" x14ac:dyDescent="0.35">
      <c r="F20" s="5"/>
      <c r="G20" s="7"/>
    </row>
    <row r="21" spans="6:7" x14ac:dyDescent="0.35">
      <c r="F21" s="5"/>
      <c r="G21" s="7"/>
    </row>
    <row r="22" spans="6:7" x14ac:dyDescent="0.35">
      <c r="F22" s="5"/>
      <c r="G22" s="7"/>
    </row>
    <row r="23" spans="6:7" x14ac:dyDescent="0.35">
      <c r="F23" s="5"/>
      <c r="G23" s="7"/>
    </row>
    <row r="24" spans="6:7" x14ac:dyDescent="0.35">
      <c r="F24" s="5"/>
      <c r="G24" s="7"/>
    </row>
    <row r="25" spans="6:7" x14ac:dyDescent="0.35">
      <c r="F25" s="5"/>
      <c r="G25" s="7"/>
    </row>
    <row r="26" spans="6:7" x14ac:dyDescent="0.35">
      <c r="F26" s="5"/>
      <c r="G26" s="7"/>
    </row>
    <row r="27" spans="6:7" x14ac:dyDescent="0.35">
      <c r="F27" s="5"/>
      <c r="G27" s="7"/>
    </row>
    <row r="28" spans="6:7" x14ac:dyDescent="0.35">
      <c r="F28" s="5"/>
      <c r="G28" s="7"/>
    </row>
    <row r="29" spans="6:7" x14ac:dyDescent="0.35">
      <c r="F29" s="5"/>
      <c r="G29" s="7"/>
    </row>
    <row r="30" spans="6:7" x14ac:dyDescent="0.35">
      <c r="F30" s="5"/>
      <c r="G30" s="7"/>
    </row>
    <row r="31" spans="6:7" x14ac:dyDescent="0.35">
      <c r="F31" s="5"/>
      <c r="G31" s="7"/>
    </row>
    <row r="32" spans="6:7" x14ac:dyDescent="0.35">
      <c r="F32" s="5"/>
      <c r="G32" s="7"/>
    </row>
    <row r="33" spans="6:7" x14ac:dyDescent="0.35">
      <c r="F33" s="5"/>
      <c r="G33" s="7"/>
    </row>
    <row r="34" spans="6:7" x14ac:dyDescent="0.35">
      <c r="F34" s="5"/>
      <c r="G34" s="7"/>
    </row>
    <row r="35" spans="6:7" x14ac:dyDescent="0.35">
      <c r="F35" s="5"/>
      <c r="G35" s="7"/>
    </row>
    <row r="36" spans="6:7" x14ac:dyDescent="0.35">
      <c r="F36" s="5"/>
      <c r="G36" s="7"/>
    </row>
    <row r="37" spans="6:7" x14ac:dyDescent="0.35">
      <c r="F37" s="5"/>
      <c r="G37" s="7"/>
    </row>
    <row r="38" spans="6:7" x14ac:dyDescent="0.35">
      <c r="F38" s="5"/>
      <c r="G38" s="7"/>
    </row>
    <row r="39" spans="6:7" x14ac:dyDescent="0.35">
      <c r="F39" s="5"/>
      <c r="G39" s="7"/>
    </row>
    <row r="40" spans="6:7" x14ac:dyDescent="0.35">
      <c r="F40" s="5"/>
      <c r="G40" s="7"/>
    </row>
    <row r="41" spans="6:7" x14ac:dyDescent="0.35">
      <c r="F41" s="5"/>
      <c r="G41" s="7"/>
    </row>
    <row r="42" spans="6:7" x14ac:dyDescent="0.35">
      <c r="F42" s="5"/>
      <c r="G42" s="7"/>
    </row>
    <row r="43" spans="6:7" x14ac:dyDescent="0.35">
      <c r="F43" s="5"/>
      <c r="G43" s="7"/>
    </row>
    <row r="44" spans="6:7" x14ac:dyDescent="0.35">
      <c r="F44" s="5"/>
      <c r="G44" s="7"/>
    </row>
    <row r="45" spans="6:7" x14ac:dyDescent="0.35">
      <c r="F45" s="5"/>
      <c r="G45" s="7"/>
    </row>
    <row r="46" spans="6:7" x14ac:dyDescent="0.35">
      <c r="F46" s="5"/>
      <c r="G46" s="7"/>
    </row>
    <row r="47" spans="6:7" x14ac:dyDescent="0.35">
      <c r="F47" s="5"/>
      <c r="G47" s="7"/>
    </row>
    <row r="48" spans="6:7" x14ac:dyDescent="0.35">
      <c r="F48" s="5"/>
      <c r="G48" s="7"/>
    </row>
    <row r="49" spans="6:7" x14ac:dyDescent="0.35">
      <c r="F49" s="5"/>
      <c r="G49" s="7"/>
    </row>
    <row r="50" spans="6:7" x14ac:dyDescent="0.35">
      <c r="F50" s="5"/>
      <c r="G50" s="7"/>
    </row>
    <row r="51" spans="6:7" x14ac:dyDescent="0.35">
      <c r="F51" s="5"/>
      <c r="G51" s="7"/>
    </row>
    <row r="52" spans="6:7" x14ac:dyDescent="0.35">
      <c r="F52" s="5"/>
      <c r="G52" s="7"/>
    </row>
    <row r="53" spans="6:7" x14ac:dyDescent="0.35">
      <c r="F53" s="5"/>
      <c r="G53" s="7"/>
    </row>
    <row r="54" spans="6:7" x14ac:dyDescent="0.35">
      <c r="F54" s="5"/>
      <c r="G54" s="7"/>
    </row>
    <row r="55" spans="6:7" x14ac:dyDescent="0.35">
      <c r="F55" s="5"/>
      <c r="G55" s="7"/>
    </row>
    <row r="56" spans="6:7" x14ac:dyDescent="0.35">
      <c r="F56" s="5"/>
      <c r="G56" s="7"/>
    </row>
    <row r="57" spans="6:7" x14ac:dyDescent="0.35">
      <c r="F57" s="5"/>
      <c r="G57" s="7"/>
    </row>
    <row r="58" spans="6:7" x14ac:dyDescent="0.35">
      <c r="F58" s="5"/>
      <c r="G58" s="7"/>
    </row>
    <row r="59" spans="6:7" x14ac:dyDescent="0.35">
      <c r="F59" s="5"/>
      <c r="G59" s="7"/>
    </row>
    <row r="60" spans="6:7" x14ac:dyDescent="0.35">
      <c r="F60" s="5"/>
      <c r="G60" s="7"/>
    </row>
    <row r="61" spans="6:7" x14ac:dyDescent="0.35">
      <c r="F61" s="5"/>
      <c r="G61" s="7"/>
    </row>
    <row r="62" spans="6:7" x14ac:dyDescent="0.35">
      <c r="F62" s="5"/>
      <c r="G62" s="7"/>
    </row>
    <row r="63" spans="6:7" x14ac:dyDescent="0.35">
      <c r="F63" s="5"/>
      <c r="G63" s="7"/>
    </row>
    <row r="64" spans="6:7" x14ac:dyDescent="0.35">
      <c r="F64" s="5"/>
      <c r="G64" s="7"/>
    </row>
    <row r="65" spans="6:7" x14ac:dyDescent="0.35">
      <c r="F65" s="5"/>
      <c r="G65" s="7"/>
    </row>
    <row r="66" spans="6:7" x14ac:dyDescent="0.35">
      <c r="F66" s="5"/>
      <c r="G66" s="7"/>
    </row>
    <row r="67" spans="6:7" x14ac:dyDescent="0.35">
      <c r="F67" s="5"/>
      <c r="G67" s="7"/>
    </row>
    <row r="68" spans="6:7" x14ac:dyDescent="0.35">
      <c r="F68" s="5"/>
      <c r="G68" s="7"/>
    </row>
    <row r="69" spans="6:7" x14ac:dyDescent="0.35">
      <c r="F69" s="5"/>
      <c r="G69" s="7"/>
    </row>
    <row r="70" spans="6:7" x14ac:dyDescent="0.35">
      <c r="F70" s="5"/>
      <c r="G70" s="7"/>
    </row>
    <row r="71" spans="6:7" x14ac:dyDescent="0.35">
      <c r="F71" s="5"/>
      <c r="G71" s="7"/>
    </row>
    <row r="72" spans="6:7" x14ac:dyDescent="0.35">
      <c r="F72" s="5"/>
      <c r="G72" s="7"/>
    </row>
    <row r="73" spans="6:7" x14ac:dyDescent="0.35">
      <c r="F73" s="5"/>
      <c r="G73" s="7"/>
    </row>
    <row r="74" spans="6:7" x14ac:dyDescent="0.35">
      <c r="F74" s="5"/>
      <c r="G74" s="7"/>
    </row>
    <row r="75" spans="6:7" x14ac:dyDescent="0.35">
      <c r="F75" s="5"/>
      <c r="G75" s="7"/>
    </row>
    <row r="76" spans="6:7" x14ac:dyDescent="0.35">
      <c r="F76" s="5"/>
      <c r="G76" s="7"/>
    </row>
    <row r="77" spans="6:7" x14ac:dyDescent="0.35">
      <c r="F77" s="5"/>
      <c r="G77" s="7"/>
    </row>
    <row r="78" spans="6:7" x14ac:dyDescent="0.35">
      <c r="F78" s="5"/>
      <c r="G78" s="7"/>
    </row>
    <row r="79" spans="6:7" x14ac:dyDescent="0.35">
      <c r="F79" s="5"/>
      <c r="G79" s="7"/>
    </row>
    <row r="80" spans="6:7" x14ac:dyDescent="0.35">
      <c r="F80" s="5"/>
      <c r="G80" s="7"/>
    </row>
    <row r="81" spans="6:7" x14ac:dyDescent="0.35">
      <c r="F81" s="5"/>
      <c r="G81" s="7"/>
    </row>
    <row r="82" spans="6:7" x14ac:dyDescent="0.35">
      <c r="F82" s="5"/>
      <c r="G82" s="7"/>
    </row>
    <row r="83" spans="6:7" x14ac:dyDescent="0.35">
      <c r="F83" s="5"/>
      <c r="G83" s="7"/>
    </row>
    <row r="84" spans="6:7" x14ac:dyDescent="0.35">
      <c r="F84" s="5"/>
      <c r="G84" s="7"/>
    </row>
    <row r="85" spans="6:7" x14ac:dyDescent="0.35">
      <c r="F85" s="5"/>
      <c r="G85" s="7"/>
    </row>
    <row r="86" spans="6:7" x14ac:dyDescent="0.35">
      <c r="F86" s="5"/>
      <c r="G86" s="7"/>
    </row>
    <row r="87" spans="6:7" x14ac:dyDescent="0.35">
      <c r="F87" s="5"/>
      <c r="G87" s="7"/>
    </row>
    <row r="88" spans="6:7" x14ac:dyDescent="0.35">
      <c r="F88" s="5"/>
      <c r="G88" s="7"/>
    </row>
    <row r="89" spans="6:7" x14ac:dyDescent="0.35">
      <c r="F89" s="5"/>
      <c r="G89" s="7"/>
    </row>
    <row r="90" spans="6:7" x14ac:dyDescent="0.35">
      <c r="F90" s="5"/>
      <c r="G90" s="7"/>
    </row>
    <row r="91" spans="6:7" x14ac:dyDescent="0.35">
      <c r="F91" s="5"/>
      <c r="G91" s="7"/>
    </row>
    <row r="92" spans="6:7" x14ac:dyDescent="0.35">
      <c r="F92" s="5"/>
      <c r="G92" s="7"/>
    </row>
    <row r="93" spans="6:7" x14ac:dyDescent="0.35">
      <c r="F93" s="5"/>
      <c r="G93" s="7"/>
    </row>
    <row r="94" spans="6:7" x14ac:dyDescent="0.35">
      <c r="F94" s="5"/>
      <c r="G94" s="7"/>
    </row>
    <row r="95" spans="6:7" x14ac:dyDescent="0.35">
      <c r="F95" s="5"/>
      <c r="G95" s="7"/>
    </row>
    <row r="96" spans="6:7" x14ac:dyDescent="0.35">
      <c r="F96" s="5"/>
      <c r="G96" s="7"/>
    </row>
    <row r="97" spans="6:7" x14ac:dyDescent="0.35">
      <c r="F97" s="5"/>
      <c r="G97" s="7"/>
    </row>
    <row r="98" spans="6:7" x14ac:dyDescent="0.35">
      <c r="F98" s="5"/>
      <c r="G98" s="7"/>
    </row>
    <row r="99" spans="6:7" x14ac:dyDescent="0.35">
      <c r="F99" s="5"/>
      <c r="G99" s="7"/>
    </row>
    <row r="100" spans="6:7" x14ac:dyDescent="0.35">
      <c r="F100" s="5"/>
      <c r="G100" s="7"/>
    </row>
    <row r="101" spans="6:7" x14ac:dyDescent="0.35">
      <c r="F101" s="5"/>
      <c r="G101" s="7"/>
    </row>
    <row r="102" spans="6:7" x14ac:dyDescent="0.35">
      <c r="F102" s="5"/>
      <c r="G102" s="7"/>
    </row>
    <row r="103" spans="6:7" x14ac:dyDescent="0.35">
      <c r="F103" s="5"/>
      <c r="G103" s="7"/>
    </row>
    <row r="104" spans="6:7" x14ac:dyDescent="0.35">
      <c r="F104" s="5"/>
      <c r="G104" s="7"/>
    </row>
    <row r="105" spans="6:7" x14ac:dyDescent="0.35">
      <c r="F105" s="5"/>
      <c r="G105" s="7"/>
    </row>
    <row r="106" spans="6:7" x14ac:dyDescent="0.35">
      <c r="F106" s="5"/>
      <c r="G106" s="7"/>
    </row>
    <row r="107" spans="6:7" x14ac:dyDescent="0.35">
      <c r="F107" s="5"/>
      <c r="G107" s="7"/>
    </row>
    <row r="108" spans="6:7" x14ac:dyDescent="0.35">
      <c r="F108" s="5"/>
      <c r="G108" s="7"/>
    </row>
    <row r="109" spans="6:7" x14ac:dyDescent="0.35">
      <c r="F109" s="5"/>
      <c r="G109" s="7"/>
    </row>
    <row r="110" spans="6:7" x14ac:dyDescent="0.35">
      <c r="F110" s="5"/>
      <c r="G110" s="7"/>
    </row>
    <row r="111" spans="6:7" x14ac:dyDescent="0.35">
      <c r="F111" s="5"/>
      <c r="G111" s="7"/>
    </row>
    <row r="112" spans="6:7" x14ac:dyDescent="0.35">
      <c r="F112" s="5"/>
      <c r="G112" s="7"/>
    </row>
    <row r="113" spans="6:7" x14ac:dyDescent="0.35">
      <c r="F113" s="5"/>
      <c r="G113" s="7"/>
    </row>
    <row r="114" spans="6:7" x14ac:dyDescent="0.35">
      <c r="F114" s="5"/>
      <c r="G114" s="7"/>
    </row>
    <row r="115" spans="6:7" x14ac:dyDescent="0.35">
      <c r="F115" s="5"/>
      <c r="G115" s="7"/>
    </row>
    <row r="116" spans="6:7" x14ac:dyDescent="0.35">
      <c r="F116" s="5"/>
      <c r="G116" s="7"/>
    </row>
    <row r="117" spans="6:7" x14ac:dyDescent="0.35">
      <c r="F117" s="5"/>
      <c r="G117" s="7"/>
    </row>
    <row r="118" spans="6:7" x14ac:dyDescent="0.35">
      <c r="F118" s="5"/>
      <c r="G118" s="7"/>
    </row>
    <row r="119" spans="6:7" x14ac:dyDescent="0.35">
      <c r="F119" s="5"/>
      <c r="G119" s="7"/>
    </row>
    <row r="120" spans="6:7" x14ac:dyDescent="0.35">
      <c r="F120" s="5"/>
      <c r="G120" s="7"/>
    </row>
    <row r="121" spans="6:7" x14ac:dyDescent="0.35">
      <c r="F121" s="5"/>
      <c r="G121" s="7"/>
    </row>
    <row r="122" spans="6:7" x14ac:dyDescent="0.35">
      <c r="F122" s="5"/>
      <c r="G122" s="7"/>
    </row>
    <row r="123" spans="6:7" x14ac:dyDescent="0.35">
      <c r="F123" s="5"/>
      <c r="G123" s="7"/>
    </row>
    <row r="124" spans="6:7" x14ac:dyDescent="0.35">
      <c r="F124" s="5"/>
      <c r="G124" s="7"/>
    </row>
    <row r="125" spans="6:7" x14ac:dyDescent="0.35">
      <c r="F125" s="5"/>
      <c r="G125" s="7"/>
    </row>
    <row r="126" spans="6:7" x14ac:dyDescent="0.35">
      <c r="F126" s="5"/>
      <c r="G126" s="7"/>
    </row>
    <row r="127" spans="6:7" x14ac:dyDescent="0.35">
      <c r="F127" s="5"/>
      <c r="G127" s="7"/>
    </row>
    <row r="128" spans="6:7" x14ac:dyDescent="0.35">
      <c r="F128" s="5"/>
      <c r="G128" s="7"/>
    </row>
    <row r="129" spans="6:7" x14ac:dyDescent="0.35">
      <c r="F129" s="5"/>
      <c r="G129" s="7"/>
    </row>
    <row r="130" spans="6:7" x14ac:dyDescent="0.35">
      <c r="F130" s="5"/>
      <c r="G130" s="7"/>
    </row>
    <row r="131" spans="6:7" x14ac:dyDescent="0.35">
      <c r="F131" s="5"/>
      <c r="G131" s="7"/>
    </row>
    <row r="132" spans="6:7" x14ac:dyDescent="0.35">
      <c r="F132" s="5"/>
      <c r="G132" s="7"/>
    </row>
    <row r="133" spans="6:7" x14ac:dyDescent="0.35">
      <c r="F133" s="5"/>
      <c r="G133" s="7"/>
    </row>
    <row r="134" spans="6:7" x14ac:dyDescent="0.35">
      <c r="F134" s="5"/>
      <c r="G134" s="7"/>
    </row>
    <row r="135" spans="6:7" x14ac:dyDescent="0.35">
      <c r="F135" s="5"/>
      <c r="G135" s="7"/>
    </row>
    <row r="136" spans="6:7" x14ac:dyDescent="0.35">
      <c r="F136" s="5"/>
      <c r="G136" s="7"/>
    </row>
    <row r="137" spans="6:7" x14ac:dyDescent="0.35">
      <c r="F137" s="5"/>
      <c r="G137" s="7"/>
    </row>
    <row r="138" spans="6:7" x14ac:dyDescent="0.35">
      <c r="F138" s="5"/>
      <c r="G138" s="7"/>
    </row>
    <row r="139" spans="6:7" x14ac:dyDescent="0.35">
      <c r="F139" s="5"/>
      <c r="G139" s="7"/>
    </row>
    <row r="140" spans="6:7" x14ac:dyDescent="0.35">
      <c r="F140" s="5"/>
      <c r="G140" s="7"/>
    </row>
    <row r="141" spans="6:7" x14ac:dyDescent="0.35">
      <c r="F141" s="5"/>
      <c r="G141" s="7"/>
    </row>
    <row r="142" spans="6:7" x14ac:dyDescent="0.35">
      <c r="F142" s="5"/>
      <c r="G142" s="7"/>
    </row>
    <row r="143" spans="6:7" x14ac:dyDescent="0.35">
      <c r="F143" s="5"/>
      <c r="G143" s="7"/>
    </row>
    <row r="144" spans="6:7" x14ac:dyDescent="0.35">
      <c r="F144" s="5"/>
      <c r="G144" s="7"/>
    </row>
    <row r="145" spans="6:7" x14ac:dyDescent="0.35">
      <c r="F145" s="5"/>
      <c r="G145" s="7"/>
    </row>
    <row r="146" spans="6:7" x14ac:dyDescent="0.35">
      <c r="F146" s="5"/>
      <c r="G146" s="7"/>
    </row>
    <row r="147" spans="6:7" x14ac:dyDescent="0.35">
      <c r="F147" s="5"/>
      <c r="G147" s="7"/>
    </row>
    <row r="148" spans="6:7" x14ac:dyDescent="0.35">
      <c r="F148" s="5"/>
      <c r="G148" s="7"/>
    </row>
    <row r="149" spans="6:7" x14ac:dyDescent="0.35">
      <c r="F149" s="5"/>
      <c r="G149" s="7"/>
    </row>
    <row r="150" spans="6:7" x14ac:dyDescent="0.35">
      <c r="F150" s="5"/>
      <c r="G150" s="7"/>
    </row>
    <row r="151" spans="6:7" x14ac:dyDescent="0.35">
      <c r="F151" s="5"/>
      <c r="G151" s="7"/>
    </row>
    <row r="152" spans="6:7" x14ac:dyDescent="0.35">
      <c r="F152" s="5"/>
      <c r="G152" s="7"/>
    </row>
    <row r="153" spans="6:7" x14ac:dyDescent="0.35">
      <c r="F153" s="5"/>
      <c r="G153" s="7"/>
    </row>
    <row r="154" spans="6:7" x14ac:dyDescent="0.35">
      <c r="F154" s="5"/>
      <c r="G154" s="7"/>
    </row>
    <row r="155" spans="6:7" x14ac:dyDescent="0.35">
      <c r="F155" s="5"/>
      <c r="G155" s="7"/>
    </row>
    <row r="156" spans="6:7" x14ac:dyDescent="0.35">
      <c r="F156" s="5"/>
      <c r="G156" s="7"/>
    </row>
    <row r="157" spans="6:7" x14ac:dyDescent="0.35">
      <c r="F157" s="5"/>
      <c r="G157" s="7"/>
    </row>
    <row r="158" spans="6:7" x14ac:dyDescent="0.35">
      <c r="F158" s="5"/>
      <c r="G158" s="7"/>
    </row>
    <row r="159" spans="6:7" x14ac:dyDescent="0.35">
      <c r="F159" s="5"/>
      <c r="G159" s="7"/>
    </row>
    <row r="160" spans="6:7" x14ac:dyDescent="0.35">
      <c r="F160" s="5"/>
      <c r="G160" s="7"/>
    </row>
    <row r="161" spans="6:7" x14ac:dyDescent="0.35">
      <c r="F161" s="5"/>
      <c r="G161" s="7"/>
    </row>
    <row r="162" spans="6:7" x14ac:dyDescent="0.35">
      <c r="F162" s="5"/>
      <c r="G162" s="7"/>
    </row>
    <row r="163" spans="6:7" x14ac:dyDescent="0.35">
      <c r="F163" s="5"/>
      <c r="G163" s="7"/>
    </row>
    <row r="164" spans="6:7" x14ac:dyDescent="0.35">
      <c r="F164" s="5"/>
      <c r="G164" s="7"/>
    </row>
    <row r="165" spans="6:7" x14ac:dyDescent="0.35">
      <c r="F165" s="5"/>
      <c r="G165" s="7"/>
    </row>
    <row r="166" spans="6:7" x14ac:dyDescent="0.35">
      <c r="F166" s="5"/>
      <c r="G166" s="7"/>
    </row>
    <row r="167" spans="6:7" x14ac:dyDescent="0.35">
      <c r="F167" s="5"/>
      <c r="G167" s="7"/>
    </row>
    <row r="168" spans="6:7" x14ac:dyDescent="0.35">
      <c r="F168" s="5"/>
      <c r="G168" s="7"/>
    </row>
    <row r="169" spans="6:7" x14ac:dyDescent="0.35">
      <c r="F169" s="5"/>
      <c r="G169" s="7"/>
    </row>
    <row r="170" spans="6:7" x14ac:dyDescent="0.35">
      <c r="F170" s="5"/>
      <c r="G170" s="7"/>
    </row>
    <row r="171" spans="6:7" x14ac:dyDescent="0.35">
      <c r="F171" s="5"/>
      <c r="G171" s="7"/>
    </row>
    <row r="172" spans="6:7" x14ac:dyDescent="0.35">
      <c r="F172" s="5"/>
      <c r="G172" s="7"/>
    </row>
    <row r="173" spans="6:7" x14ac:dyDescent="0.35">
      <c r="F173" s="5"/>
      <c r="G173" s="7"/>
    </row>
    <row r="174" spans="6:7" x14ac:dyDescent="0.35">
      <c r="F174" s="5"/>
      <c r="G174" s="7"/>
    </row>
    <row r="175" spans="6:7" x14ac:dyDescent="0.35">
      <c r="F175" s="5"/>
      <c r="G175" s="7"/>
    </row>
    <row r="176" spans="6:7" x14ac:dyDescent="0.35">
      <c r="F176" s="5"/>
      <c r="G176" s="7"/>
    </row>
    <row r="177" spans="6:7" x14ac:dyDescent="0.35">
      <c r="F177" s="5"/>
      <c r="G177" s="7"/>
    </row>
    <row r="178" spans="6:7" x14ac:dyDescent="0.35">
      <c r="F178" s="5"/>
      <c r="G178" s="7"/>
    </row>
    <row r="179" spans="6:7" x14ac:dyDescent="0.35">
      <c r="F179" s="5"/>
      <c r="G179" s="7"/>
    </row>
    <row r="180" spans="6:7" x14ac:dyDescent="0.35">
      <c r="F180" s="5"/>
      <c r="G180" s="7"/>
    </row>
    <row r="181" spans="6:7" x14ac:dyDescent="0.35">
      <c r="F181" s="5"/>
      <c r="G181" s="7"/>
    </row>
    <row r="182" spans="6:7" x14ac:dyDescent="0.35">
      <c r="F182" s="5"/>
      <c r="G182" s="7"/>
    </row>
    <row r="183" spans="6:7" x14ac:dyDescent="0.35">
      <c r="F183" s="5"/>
      <c r="G183" s="7"/>
    </row>
    <row r="184" spans="6:7" x14ac:dyDescent="0.35">
      <c r="F184" s="5"/>
      <c r="G184" s="7"/>
    </row>
    <row r="185" spans="6:7" x14ac:dyDescent="0.35">
      <c r="F185" s="5"/>
      <c r="G185" s="7"/>
    </row>
    <row r="186" spans="6:7" x14ac:dyDescent="0.35">
      <c r="F186" s="5"/>
      <c r="G186" s="7"/>
    </row>
    <row r="187" spans="6:7" x14ac:dyDescent="0.35">
      <c r="F187" s="5"/>
      <c r="G187" s="7"/>
    </row>
    <row r="188" spans="6:7" x14ac:dyDescent="0.35">
      <c r="F188" s="5"/>
      <c r="G188" s="7"/>
    </row>
    <row r="189" spans="6:7" x14ac:dyDescent="0.35">
      <c r="F189" s="5"/>
      <c r="G189" s="7"/>
    </row>
    <row r="190" spans="6:7" x14ac:dyDescent="0.35">
      <c r="F190" s="5"/>
      <c r="G190" s="7"/>
    </row>
    <row r="191" spans="6:7" x14ac:dyDescent="0.35">
      <c r="F191" s="5"/>
      <c r="G191" s="7"/>
    </row>
    <row r="192" spans="6:7" x14ac:dyDescent="0.35">
      <c r="F192" s="5"/>
      <c r="G192" s="7"/>
    </row>
    <row r="193" spans="6:7" x14ac:dyDescent="0.35">
      <c r="F193" s="5"/>
      <c r="G193" s="7"/>
    </row>
    <row r="194" spans="6:7" x14ac:dyDescent="0.35">
      <c r="F194" s="5"/>
      <c r="G194" s="7"/>
    </row>
    <row r="195" spans="6:7" x14ac:dyDescent="0.35">
      <c r="F195" s="5"/>
      <c r="G195" s="7"/>
    </row>
    <row r="196" spans="6:7" x14ac:dyDescent="0.35">
      <c r="F196" s="5"/>
      <c r="G196" s="7"/>
    </row>
    <row r="197" spans="6:7" x14ac:dyDescent="0.35">
      <c r="F197" s="5"/>
      <c r="G197" s="7"/>
    </row>
    <row r="198" spans="6:7" x14ac:dyDescent="0.35">
      <c r="F198" s="5"/>
      <c r="G198" s="7"/>
    </row>
    <row r="199" spans="6:7" x14ac:dyDescent="0.35">
      <c r="F199" s="5"/>
      <c r="G199" s="7"/>
    </row>
    <row r="200" spans="6:7" x14ac:dyDescent="0.35">
      <c r="F200" s="5"/>
      <c r="G200" s="7"/>
    </row>
    <row r="201" spans="6:7" x14ac:dyDescent="0.35">
      <c r="F201" s="5"/>
      <c r="G201" s="7"/>
    </row>
    <row r="202" spans="6:7" x14ac:dyDescent="0.35">
      <c r="F202" s="5"/>
      <c r="G202" s="7"/>
    </row>
    <row r="203" spans="6:7" x14ac:dyDescent="0.35">
      <c r="F203" s="5"/>
      <c r="G203" s="7"/>
    </row>
    <row r="204" spans="6:7" x14ac:dyDescent="0.35">
      <c r="F204" s="5"/>
      <c r="G204" s="7"/>
    </row>
    <row r="205" spans="6:7" x14ac:dyDescent="0.35">
      <c r="F205" s="5"/>
      <c r="G205" s="7"/>
    </row>
    <row r="206" spans="6:7" x14ac:dyDescent="0.35">
      <c r="F206" s="5"/>
      <c r="G206" s="7"/>
    </row>
    <row r="207" spans="6:7" x14ac:dyDescent="0.35">
      <c r="F207" s="5"/>
      <c r="G207" s="7"/>
    </row>
    <row r="208" spans="6:7" x14ac:dyDescent="0.35">
      <c r="F208" s="5"/>
      <c r="G208" s="7"/>
    </row>
    <row r="209" spans="6:7" x14ac:dyDescent="0.35">
      <c r="F209" s="5"/>
      <c r="G209" s="7"/>
    </row>
    <row r="210" spans="6:7" x14ac:dyDescent="0.35">
      <c r="F210" s="5"/>
      <c r="G210" s="7"/>
    </row>
    <row r="211" spans="6:7" x14ac:dyDescent="0.35">
      <c r="F211" s="5"/>
      <c r="G211" s="7"/>
    </row>
    <row r="212" spans="6:7" x14ac:dyDescent="0.35">
      <c r="F212" s="5"/>
      <c r="G212" s="7"/>
    </row>
    <row r="213" spans="6:7" x14ac:dyDescent="0.35">
      <c r="F213" s="5"/>
      <c r="G213" s="7"/>
    </row>
    <row r="214" spans="6:7" x14ac:dyDescent="0.35">
      <c r="F214" s="5"/>
      <c r="G214" s="7"/>
    </row>
    <row r="215" spans="6:7" x14ac:dyDescent="0.35">
      <c r="F215" s="5"/>
      <c r="G215" s="7"/>
    </row>
    <row r="216" spans="6:7" x14ac:dyDescent="0.35">
      <c r="F216" s="5"/>
      <c r="G216" s="7"/>
    </row>
    <row r="217" spans="6:7" x14ac:dyDescent="0.35">
      <c r="F217" s="5"/>
      <c r="G217" s="7"/>
    </row>
    <row r="218" spans="6:7" x14ac:dyDescent="0.35">
      <c r="F218" s="5"/>
      <c r="G218" s="7"/>
    </row>
    <row r="219" spans="6:7" x14ac:dyDescent="0.35">
      <c r="F219" s="5"/>
      <c r="G219" s="7"/>
    </row>
    <row r="220" spans="6:7" x14ac:dyDescent="0.35">
      <c r="F220" s="5"/>
      <c r="G220" s="7"/>
    </row>
    <row r="221" spans="6:7" x14ac:dyDescent="0.35">
      <c r="F221" s="5"/>
      <c r="G221" s="7"/>
    </row>
    <row r="222" spans="6:7" x14ac:dyDescent="0.35">
      <c r="F222" s="5"/>
      <c r="G222" s="7"/>
    </row>
    <row r="223" spans="6:7" x14ac:dyDescent="0.35">
      <c r="F223" s="5"/>
      <c r="G223" s="7"/>
    </row>
    <row r="224" spans="6:7" x14ac:dyDescent="0.35">
      <c r="F224" s="5"/>
      <c r="G224" s="7"/>
    </row>
    <row r="225" spans="6:7" x14ac:dyDescent="0.35">
      <c r="F225" s="5"/>
      <c r="G225" s="7"/>
    </row>
    <row r="226" spans="6:7" x14ac:dyDescent="0.35">
      <c r="F226" s="5"/>
      <c r="G226" s="7"/>
    </row>
    <row r="227" spans="6:7" x14ac:dyDescent="0.35">
      <c r="F227" s="5"/>
      <c r="G227" s="7"/>
    </row>
    <row r="228" spans="6:7" x14ac:dyDescent="0.35">
      <c r="F228" s="5"/>
      <c r="G228" s="7"/>
    </row>
    <row r="229" spans="6:7" x14ac:dyDescent="0.35">
      <c r="F229" s="5"/>
      <c r="G229" s="7"/>
    </row>
    <row r="230" spans="6:7" x14ac:dyDescent="0.35">
      <c r="F230" s="5"/>
      <c r="G230" s="7"/>
    </row>
    <row r="231" spans="6:7" x14ac:dyDescent="0.35">
      <c r="F231" s="5"/>
      <c r="G231" s="7"/>
    </row>
    <row r="232" spans="6:7" x14ac:dyDescent="0.35">
      <c r="F232" s="5"/>
      <c r="G232" s="7"/>
    </row>
    <row r="233" spans="6:7" x14ac:dyDescent="0.35">
      <c r="F233" s="5"/>
      <c r="G233" s="7"/>
    </row>
    <row r="234" spans="6:7" x14ac:dyDescent="0.35">
      <c r="F234" s="5"/>
      <c r="G234" s="7"/>
    </row>
    <row r="235" spans="6:7" x14ac:dyDescent="0.35">
      <c r="F235" s="5"/>
      <c r="G235" s="7"/>
    </row>
    <row r="236" spans="6:7" x14ac:dyDescent="0.35">
      <c r="F236" s="5"/>
      <c r="G236" s="7"/>
    </row>
    <row r="237" spans="6:7" x14ac:dyDescent="0.35">
      <c r="F237" s="5"/>
      <c r="G237" s="7"/>
    </row>
    <row r="238" spans="6:7" x14ac:dyDescent="0.35">
      <c r="F238" s="5"/>
      <c r="G238" s="7"/>
    </row>
    <row r="239" spans="6:7" x14ac:dyDescent="0.35">
      <c r="F239" s="5"/>
      <c r="G239" s="7"/>
    </row>
    <row r="240" spans="6:7" x14ac:dyDescent="0.35">
      <c r="F240" s="5"/>
      <c r="G240" s="7"/>
    </row>
    <row r="241" spans="6:7" x14ac:dyDescent="0.35">
      <c r="F241" s="5"/>
      <c r="G241" s="7"/>
    </row>
    <row r="242" spans="6:7" x14ac:dyDescent="0.35">
      <c r="F242" s="5"/>
      <c r="G242" s="7"/>
    </row>
    <row r="243" spans="6:7" x14ac:dyDescent="0.35">
      <c r="F243" s="5"/>
      <c r="G243" s="7"/>
    </row>
    <row r="244" spans="6:7" x14ac:dyDescent="0.35">
      <c r="F244" s="5"/>
      <c r="G244" s="7"/>
    </row>
    <row r="245" spans="6:7" x14ac:dyDescent="0.35">
      <c r="F245" s="5"/>
      <c r="G245" s="7"/>
    </row>
    <row r="246" spans="6:7" x14ac:dyDescent="0.35">
      <c r="F246" s="5"/>
      <c r="G246" s="7"/>
    </row>
    <row r="247" spans="6:7" x14ac:dyDescent="0.35">
      <c r="F247" s="5"/>
      <c r="G247" s="7"/>
    </row>
    <row r="248" spans="6:7" x14ac:dyDescent="0.35">
      <c r="F248" s="5"/>
      <c r="G248" s="7"/>
    </row>
    <row r="249" spans="6:7" x14ac:dyDescent="0.35">
      <c r="F249" s="5"/>
      <c r="G249" s="7"/>
    </row>
    <row r="250" spans="6:7" x14ac:dyDescent="0.35">
      <c r="F250" s="5"/>
      <c r="G250" s="7"/>
    </row>
    <row r="251" spans="6:7" x14ac:dyDescent="0.35">
      <c r="F251" s="5"/>
      <c r="G251" s="7"/>
    </row>
    <row r="252" spans="6:7" x14ac:dyDescent="0.35">
      <c r="F252" s="5"/>
      <c r="G252" s="7"/>
    </row>
    <row r="253" spans="6:7" x14ac:dyDescent="0.35">
      <c r="F253" s="5"/>
      <c r="G253" s="7"/>
    </row>
    <row r="254" spans="6:7" x14ac:dyDescent="0.35">
      <c r="F254" s="5"/>
      <c r="G254" s="7"/>
    </row>
    <row r="255" spans="6:7" x14ac:dyDescent="0.35">
      <c r="F255" s="5"/>
      <c r="G255" s="7"/>
    </row>
    <row r="256" spans="6:7" x14ac:dyDescent="0.35">
      <c r="F256" s="5"/>
      <c r="G256" s="7"/>
    </row>
    <row r="257" spans="6:7" x14ac:dyDescent="0.35">
      <c r="F257" s="5"/>
      <c r="G257" s="7"/>
    </row>
    <row r="258" spans="6:7" x14ac:dyDescent="0.35">
      <c r="F258" s="5"/>
      <c r="G258" s="7"/>
    </row>
    <row r="259" spans="6:7" x14ac:dyDescent="0.35">
      <c r="F259" s="5"/>
      <c r="G259" s="7"/>
    </row>
    <row r="260" spans="6:7" x14ac:dyDescent="0.35">
      <c r="F260" s="5"/>
      <c r="G260" s="7"/>
    </row>
    <row r="261" spans="6:7" x14ac:dyDescent="0.35">
      <c r="F261" s="5"/>
      <c r="G261" s="7"/>
    </row>
    <row r="262" spans="6:7" x14ac:dyDescent="0.35">
      <c r="F262" s="5"/>
      <c r="G262" s="7"/>
    </row>
    <row r="263" spans="6:7" x14ac:dyDescent="0.35">
      <c r="F263" s="5"/>
      <c r="G263" s="7"/>
    </row>
    <row r="264" spans="6:7" x14ac:dyDescent="0.35">
      <c r="F264" s="5"/>
      <c r="G264" s="7"/>
    </row>
    <row r="265" spans="6:7" x14ac:dyDescent="0.35">
      <c r="F265" s="5"/>
      <c r="G265" s="7"/>
    </row>
    <row r="266" spans="6:7" x14ac:dyDescent="0.35">
      <c r="F266" s="5"/>
      <c r="G266" s="7"/>
    </row>
    <row r="267" spans="6:7" x14ac:dyDescent="0.35">
      <c r="F267" s="5"/>
      <c r="G267" s="7"/>
    </row>
    <row r="268" spans="6:7" x14ac:dyDescent="0.35">
      <c r="F268" s="5"/>
      <c r="G268" s="7"/>
    </row>
    <row r="269" spans="6:7" x14ac:dyDescent="0.35">
      <c r="F269" s="5"/>
      <c r="G269" s="7"/>
    </row>
    <row r="270" spans="6:7" x14ac:dyDescent="0.35">
      <c r="F270" s="5"/>
      <c r="G270" s="7"/>
    </row>
    <row r="271" spans="6:7" x14ac:dyDescent="0.35">
      <c r="F271" s="5"/>
      <c r="G271" s="7"/>
    </row>
    <row r="272" spans="6:7" x14ac:dyDescent="0.35">
      <c r="F272" s="5"/>
      <c r="G272" s="7"/>
    </row>
    <row r="273" spans="6:7" x14ac:dyDescent="0.35">
      <c r="F273" s="5"/>
      <c r="G273" s="7"/>
    </row>
    <row r="274" spans="6:7" x14ac:dyDescent="0.35">
      <c r="F274" s="5"/>
      <c r="G274" s="7"/>
    </row>
    <row r="275" spans="6:7" x14ac:dyDescent="0.35">
      <c r="F275" s="5"/>
      <c r="G275" s="7"/>
    </row>
    <row r="276" spans="6:7" x14ac:dyDescent="0.35">
      <c r="F276" s="5"/>
      <c r="G276" s="7"/>
    </row>
    <row r="277" spans="6:7" x14ac:dyDescent="0.35">
      <c r="F277" s="5"/>
      <c r="G277" s="7"/>
    </row>
    <row r="278" spans="6:7" x14ac:dyDescent="0.35">
      <c r="F278" s="5"/>
      <c r="G278" s="7"/>
    </row>
    <row r="279" spans="6:7" x14ac:dyDescent="0.35">
      <c r="F279" s="5"/>
      <c r="G279" s="7"/>
    </row>
    <row r="280" spans="6:7" x14ac:dyDescent="0.35">
      <c r="F280" s="5"/>
      <c r="G280" s="7"/>
    </row>
    <row r="281" spans="6:7" x14ac:dyDescent="0.35">
      <c r="F281" s="5"/>
      <c r="G281" s="7"/>
    </row>
    <row r="282" spans="6:7" x14ac:dyDescent="0.35">
      <c r="F282" s="5"/>
      <c r="G282" s="7"/>
    </row>
    <row r="283" spans="6:7" x14ac:dyDescent="0.35">
      <c r="F283" s="5"/>
      <c r="G283" s="7"/>
    </row>
    <row r="284" spans="6:7" x14ac:dyDescent="0.35">
      <c r="F284" s="5"/>
      <c r="G284" s="7"/>
    </row>
    <row r="285" spans="6:7" x14ac:dyDescent="0.35">
      <c r="F285" s="5"/>
      <c r="G285" s="7"/>
    </row>
    <row r="286" spans="6:7" x14ac:dyDescent="0.35">
      <c r="F286" s="5"/>
      <c r="G286" s="7"/>
    </row>
    <row r="287" spans="6:7" x14ac:dyDescent="0.35">
      <c r="F287" s="5"/>
      <c r="G287" s="7"/>
    </row>
    <row r="288" spans="6:7" x14ac:dyDescent="0.35">
      <c r="F288" s="5"/>
      <c r="G288" s="7"/>
    </row>
    <row r="289" spans="6:7" x14ac:dyDescent="0.35">
      <c r="F289" s="5"/>
      <c r="G289" s="7"/>
    </row>
    <row r="290" spans="6:7" x14ac:dyDescent="0.35">
      <c r="F290" s="5"/>
      <c r="G290" s="7"/>
    </row>
    <row r="291" spans="6:7" x14ac:dyDescent="0.35">
      <c r="F291" s="5"/>
      <c r="G291" s="7"/>
    </row>
    <row r="292" spans="6:7" x14ac:dyDescent="0.35">
      <c r="F292" s="5"/>
      <c r="G292" s="7"/>
    </row>
    <row r="293" spans="6:7" x14ac:dyDescent="0.35">
      <c r="F293" s="5"/>
      <c r="G293" s="7"/>
    </row>
    <row r="294" spans="6:7" x14ac:dyDescent="0.35">
      <c r="F294" s="5"/>
      <c r="G294" s="7"/>
    </row>
    <row r="295" spans="6:7" x14ac:dyDescent="0.35">
      <c r="F295" s="5"/>
      <c r="G295" s="7"/>
    </row>
    <row r="296" spans="6:7" x14ac:dyDescent="0.35">
      <c r="F296" s="5"/>
      <c r="G296" s="7"/>
    </row>
    <row r="297" spans="6:7" x14ac:dyDescent="0.35">
      <c r="F297" s="5"/>
      <c r="G297" s="7"/>
    </row>
    <row r="298" spans="6:7" x14ac:dyDescent="0.35">
      <c r="F298" s="5"/>
      <c r="G298" s="7"/>
    </row>
    <row r="299" spans="6:7" x14ac:dyDescent="0.35">
      <c r="F299" s="5"/>
      <c r="G299" s="7"/>
    </row>
    <row r="300" spans="6:7" x14ac:dyDescent="0.35">
      <c r="F300" s="5"/>
      <c r="G300" s="7"/>
    </row>
    <row r="301" spans="6:7" x14ac:dyDescent="0.35">
      <c r="F301" s="5"/>
      <c r="G301" s="7"/>
    </row>
    <row r="302" spans="6:7" x14ac:dyDescent="0.35">
      <c r="F302" s="5"/>
      <c r="G302" s="7"/>
    </row>
    <row r="303" spans="6:7" x14ac:dyDescent="0.35">
      <c r="F303" s="5"/>
      <c r="G303" s="7"/>
    </row>
    <row r="304" spans="6:7" x14ac:dyDescent="0.35">
      <c r="F304" s="5"/>
      <c r="G304" s="7"/>
    </row>
    <row r="305" spans="6:7" x14ac:dyDescent="0.35">
      <c r="F305" s="5"/>
      <c r="G305" s="7"/>
    </row>
    <row r="306" spans="6:7" x14ac:dyDescent="0.35">
      <c r="F306" s="5"/>
      <c r="G306" s="7"/>
    </row>
    <row r="307" spans="6:7" x14ac:dyDescent="0.35">
      <c r="F307" s="5"/>
      <c r="G307" s="7"/>
    </row>
    <row r="308" spans="6:7" x14ac:dyDescent="0.35">
      <c r="F308" s="5"/>
      <c r="G308" s="7"/>
    </row>
    <row r="309" spans="6:7" x14ac:dyDescent="0.35">
      <c r="F309" s="5"/>
      <c r="G309" s="7"/>
    </row>
    <row r="310" spans="6:7" x14ac:dyDescent="0.35">
      <c r="F310" s="5"/>
      <c r="G310" s="7"/>
    </row>
    <row r="311" spans="6:7" x14ac:dyDescent="0.35">
      <c r="F311" s="5"/>
      <c r="G311" s="7"/>
    </row>
    <row r="312" spans="6:7" x14ac:dyDescent="0.35">
      <c r="F312" s="5"/>
      <c r="G312" s="7"/>
    </row>
    <row r="313" spans="6:7" x14ac:dyDescent="0.35">
      <c r="F313" s="5"/>
      <c r="G313" s="7"/>
    </row>
    <row r="314" spans="6:7" x14ac:dyDescent="0.35">
      <c r="F314" s="5"/>
      <c r="G314" s="7"/>
    </row>
    <row r="315" spans="6:7" x14ac:dyDescent="0.35">
      <c r="F315" s="5"/>
      <c r="G315" s="7"/>
    </row>
    <row r="316" spans="6:7" x14ac:dyDescent="0.35">
      <c r="F316" s="5"/>
      <c r="G316" s="7"/>
    </row>
    <row r="317" spans="6:7" x14ac:dyDescent="0.35">
      <c r="F317" s="5"/>
      <c r="G317" s="7"/>
    </row>
    <row r="318" spans="6:7" x14ac:dyDescent="0.35">
      <c r="F318" s="5"/>
      <c r="G318" s="7"/>
    </row>
    <row r="319" spans="6:7" x14ac:dyDescent="0.35">
      <c r="F319" s="5"/>
      <c r="G319" s="7"/>
    </row>
    <row r="320" spans="6:7" x14ac:dyDescent="0.35">
      <c r="F320" s="5"/>
      <c r="G320" s="7"/>
    </row>
    <row r="321" spans="6:7" x14ac:dyDescent="0.35">
      <c r="F321" s="5"/>
      <c r="G321" s="7"/>
    </row>
    <row r="322" spans="6:7" x14ac:dyDescent="0.35">
      <c r="F322" s="5"/>
      <c r="G322" s="7"/>
    </row>
    <row r="323" spans="6:7" x14ac:dyDescent="0.35">
      <c r="F323" s="5"/>
      <c r="G323" s="7"/>
    </row>
    <row r="324" spans="6:7" x14ac:dyDescent="0.35">
      <c r="F324" s="5"/>
      <c r="G324" s="7"/>
    </row>
    <row r="325" spans="6:7" x14ac:dyDescent="0.35">
      <c r="F325" s="5"/>
      <c r="G325" s="7"/>
    </row>
    <row r="326" spans="6:7" x14ac:dyDescent="0.35">
      <c r="F326" s="5"/>
      <c r="G326" s="7"/>
    </row>
    <row r="327" spans="6:7" x14ac:dyDescent="0.35">
      <c r="F327" s="5"/>
      <c r="G327" s="7"/>
    </row>
    <row r="328" spans="6:7" x14ac:dyDescent="0.35">
      <c r="F328" s="5"/>
      <c r="G328" s="7"/>
    </row>
    <row r="329" spans="6:7" x14ac:dyDescent="0.35">
      <c r="F329" s="5"/>
      <c r="G329" s="7"/>
    </row>
    <row r="330" spans="6:7" x14ac:dyDescent="0.35">
      <c r="F330" s="5"/>
      <c r="G330" s="7"/>
    </row>
    <row r="331" spans="6:7" x14ac:dyDescent="0.35">
      <c r="F331" s="5"/>
      <c r="G331" s="7"/>
    </row>
    <row r="332" spans="6:7" x14ac:dyDescent="0.35">
      <c r="F332" s="5"/>
      <c r="G332" s="7"/>
    </row>
    <row r="333" spans="6:7" x14ac:dyDescent="0.35">
      <c r="F333" s="5"/>
      <c r="G333" s="7"/>
    </row>
    <row r="334" spans="6:7" x14ac:dyDescent="0.35">
      <c r="F334" s="5"/>
      <c r="G334" s="7"/>
    </row>
    <row r="335" spans="6:7" x14ac:dyDescent="0.35">
      <c r="F335" s="5"/>
      <c r="G335" s="7"/>
    </row>
    <row r="336" spans="6:7" x14ac:dyDescent="0.35">
      <c r="F336" s="5"/>
      <c r="G336" s="7"/>
    </row>
    <row r="337" spans="6:7" x14ac:dyDescent="0.35">
      <c r="F337" s="5"/>
      <c r="G337" s="7"/>
    </row>
    <row r="338" spans="6:7" x14ac:dyDescent="0.35">
      <c r="F338" s="5"/>
      <c r="G338" s="7"/>
    </row>
    <row r="339" spans="6:7" x14ac:dyDescent="0.35">
      <c r="F339" s="5"/>
      <c r="G339" s="7"/>
    </row>
    <row r="340" spans="6:7" x14ac:dyDescent="0.35">
      <c r="F340" s="5"/>
      <c r="G340" s="7"/>
    </row>
    <row r="341" spans="6:7" x14ac:dyDescent="0.35">
      <c r="F341" s="5"/>
      <c r="G341" s="7"/>
    </row>
    <row r="342" spans="6:7" x14ac:dyDescent="0.35">
      <c r="F342" s="5"/>
      <c r="G342" s="7"/>
    </row>
    <row r="343" spans="6:7" x14ac:dyDescent="0.35">
      <c r="F343" s="5"/>
      <c r="G343" s="7"/>
    </row>
    <row r="344" spans="6:7" x14ac:dyDescent="0.35">
      <c r="F344" s="5"/>
      <c r="G344" s="7"/>
    </row>
    <row r="345" spans="6:7" x14ac:dyDescent="0.35">
      <c r="F345" s="5"/>
      <c r="G345" s="7"/>
    </row>
    <row r="346" spans="6:7" x14ac:dyDescent="0.35">
      <c r="F346" s="5"/>
      <c r="G346" s="7"/>
    </row>
    <row r="347" spans="6:7" x14ac:dyDescent="0.35">
      <c r="F347" s="5"/>
      <c r="G347" s="7"/>
    </row>
    <row r="348" spans="6:7" x14ac:dyDescent="0.35">
      <c r="F348" s="5"/>
      <c r="G348" s="7"/>
    </row>
    <row r="349" spans="6:7" x14ac:dyDescent="0.35">
      <c r="F349" s="5"/>
      <c r="G349" s="7"/>
    </row>
    <row r="350" spans="6:7" x14ac:dyDescent="0.35">
      <c r="F350" s="5"/>
      <c r="G350" s="7"/>
    </row>
    <row r="351" spans="6:7" x14ac:dyDescent="0.35">
      <c r="F351" s="5"/>
      <c r="G351" s="7"/>
    </row>
    <row r="352" spans="6:7" x14ac:dyDescent="0.35">
      <c r="F352" s="5"/>
      <c r="G352" s="7"/>
    </row>
    <row r="353" spans="6:7" x14ac:dyDescent="0.35">
      <c r="F353" s="5"/>
      <c r="G353" s="7"/>
    </row>
    <row r="354" spans="6:7" x14ac:dyDescent="0.35">
      <c r="F354" s="5"/>
      <c r="G354" s="7"/>
    </row>
    <row r="355" spans="6:7" x14ac:dyDescent="0.35">
      <c r="F355" s="5"/>
      <c r="G355" s="7"/>
    </row>
    <row r="356" spans="6:7" x14ac:dyDescent="0.35">
      <c r="F356" s="5"/>
      <c r="G356" s="7"/>
    </row>
    <row r="357" spans="6:7" x14ac:dyDescent="0.35">
      <c r="F357" s="5"/>
      <c r="G357" s="7"/>
    </row>
    <row r="358" spans="6:7" x14ac:dyDescent="0.35">
      <c r="F358" s="5"/>
      <c r="G358" s="7"/>
    </row>
    <row r="359" spans="6:7" x14ac:dyDescent="0.35">
      <c r="F359" s="5"/>
      <c r="G359" s="7"/>
    </row>
    <row r="360" spans="6:7" x14ac:dyDescent="0.35">
      <c r="F360" s="5"/>
      <c r="G360" s="7"/>
    </row>
    <row r="361" spans="6:7" x14ac:dyDescent="0.35">
      <c r="F361" s="5"/>
      <c r="G361" s="7"/>
    </row>
    <row r="362" spans="6:7" x14ac:dyDescent="0.35">
      <c r="F362" s="5"/>
      <c r="G362" s="7"/>
    </row>
    <row r="363" spans="6:7" x14ac:dyDescent="0.35">
      <c r="F363" s="5"/>
      <c r="G363" s="7"/>
    </row>
    <row r="364" spans="6:7" x14ac:dyDescent="0.35">
      <c r="F364" s="5"/>
      <c r="G364" s="7"/>
    </row>
    <row r="365" spans="6:7" x14ac:dyDescent="0.35">
      <c r="F365" s="5"/>
      <c r="G365" s="7"/>
    </row>
    <row r="366" spans="6:7" x14ac:dyDescent="0.35">
      <c r="F366" s="5"/>
      <c r="G366" s="7"/>
    </row>
    <row r="367" spans="6:7" x14ac:dyDescent="0.35">
      <c r="F367" s="5"/>
      <c r="G367" s="7"/>
    </row>
    <row r="368" spans="6:7" x14ac:dyDescent="0.35">
      <c r="F368" s="5"/>
      <c r="G368" s="7"/>
    </row>
    <row r="369" spans="6:7" x14ac:dyDescent="0.35">
      <c r="F369" s="5"/>
      <c r="G369" s="7"/>
    </row>
    <row r="370" spans="6:7" x14ac:dyDescent="0.35">
      <c r="F370" s="5"/>
      <c r="G370" s="7"/>
    </row>
    <row r="371" spans="6:7" x14ac:dyDescent="0.35">
      <c r="F371" s="5"/>
      <c r="G371" s="7"/>
    </row>
    <row r="372" spans="6:7" x14ac:dyDescent="0.35">
      <c r="F372" s="5"/>
      <c r="G372" s="7"/>
    </row>
    <row r="373" spans="6:7" x14ac:dyDescent="0.35">
      <c r="F373" s="5"/>
      <c r="G373" s="7"/>
    </row>
    <row r="374" spans="6:7" x14ac:dyDescent="0.35">
      <c r="F374" s="5"/>
      <c r="G374" s="7"/>
    </row>
    <row r="375" spans="6:7" x14ac:dyDescent="0.35">
      <c r="F375" s="5"/>
      <c r="G375" s="7"/>
    </row>
    <row r="376" spans="6:7" x14ac:dyDescent="0.35">
      <c r="F376" s="5"/>
      <c r="G376" s="7"/>
    </row>
    <row r="377" spans="6:7" x14ac:dyDescent="0.35">
      <c r="F377" s="5"/>
      <c r="G377" s="7"/>
    </row>
    <row r="378" spans="6:7" x14ac:dyDescent="0.35">
      <c r="F378" s="5"/>
      <c r="G378" s="7"/>
    </row>
    <row r="379" spans="6:7" x14ac:dyDescent="0.35">
      <c r="F379" s="5"/>
      <c r="G379" s="7"/>
    </row>
    <row r="380" spans="6:7" x14ac:dyDescent="0.35">
      <c r="F380" s="5"/>
      <c r="G380" s="7"/>
    </row>
    <row r="381" spans="6:7" x14ac:dyDescent="0.35">
      <c r="F381" s="5"/>
      <c r="G381" s="7"/>
    </row>
    <row r="382" spans="6:7" x14ac:dyDescent="0.35">
      <c r="F382" s="5"/>
      <c r="G382" s="7"/>
    </row>
    <row r="383" spans="6:7" x14ac:dyDescent="0.35">
      <c r="F383" s="5"/>
      <c r="G383" s="7"/>
    </row>
    <row r="384" spans="6:7" x14ac:dyDescent="0.35">
      <c r="F384" s="5"/>
      <c r="G384" s="7"/>
    </row>
    <row r="385" spans="6:7" x14ac:dyDescent="0.35">
      <c r="F385" s="5"/>
      <c r="G385" s="7"/>
    </row>
    <row r="386" spans="6:7" x14ac:dyDescent="0.35">
      <c r="F386" s="5"/>
      <c r="G386" s="7"/>
    </row>
    <row r="387" spans="6:7" x14ac:dyDescent="0.35">
      <c r="F387" s="5"/>
      <c r="G387" s="7"/>
    </row>
    <row r="388" spans="6:7" x14ac:dyDescent="0.35">
      <c r="F388" s="5"/>
      <c r="G388" s="7"/>
    </row>
    <row r="389" spans="6:7" x14ac:dyDescent="0.35">
      <c r="F389" s="5"/>
      <c r="G389" s="7"/>
    </row>
    <row r="390" spans="6:7" x14ac:dyDescent="0.35">
      <c r="F390" s="5"/>
      <c r="G390" s="7"/>
    </row>
    <row r="391" spans="6:7" x14ac:dyDescent="0.35">
      <c r="F391" s="5"/>
      <c r="G391" s="7"/>
    </row>
    <row r="392" spans="6:7" x14ac:dyDescent="0.35">
      <c r="F392" s="5"/>
      <c r="G392" s="7"/>
    </row>
    <row r="393" spans="6:7" x14ac:dyDescent="0.35">
      <c r="F393" s="5"/>
      <c r="G393" s="7"/>
    </row>
    <row r="394" spans="6:7" x14ac:dyDescent="0.35">
      <c r="F394" s="5"/>
      <c r="G394" s="7"/>
    </row>
    <row r="395" spans="6:7" x14ac:dyDescent="0.35">
      <c r="F395" s="5"/>
      <c r="G395" s="7"/>
    </row>
    <row r="396" spans="6:7" x14ac:dyDescent="0.35">
      <c r="F396" s="5"/>
      <c r="G396" s="7"/>
    </row>
    <row r="397" spans="6:7" x14ac:dyDescent="0.35">
      <c r="F397" s="5"/>
      <c r="G397" s="7"/>
    </row>
    <row r="398" spans="6:7" x14ac:dyDescent="0.35">
      <c r="F398" s="5"/>
      <c r="G398" s="7"/>
    </row>
    <row r="399" spans="6:7" x14ac:dyDescent="0.35">
      <c r="F399" s="5"/>
      <c r="G399" s="7"/>
    </row>
    <row r="400" spans="6:7" x14ac:dyDescent="0.35">
      <c r="F400" s="5"/>
      <c r="G400" s="7"/>
    </row>
    <row r="401" spans="6:7" x14ac:dyDescent="0.35">
      <c r="F401" s="5"/>
      <c r="G401" s="7"/>
    </row>
    <row r="402" spans="6:7" x14ac:dyDescent="0.35">
      <c r="F402" s="5"/>
      <c r="G402" s="7"/>
    </row>
    <row r="403" spans="6:7" x14ac:dyDescent="0.35">
      <c r="F403" s="5"/>
      <c r="G403" s="7"/>
    </row>
    <row r="404" spans="6:7" x14ac:dyDescent="0.35">
      <c r="F404" s="5"/>
      <c r="G404" s="7"/>
    </row>
    <row r="405" spans="6:7" x14ac:dyDescent="0.35">
      <c r="F405" s="5"/>
      <c r="G405" s="7"/>
    </row>
    <row r="406" spans="6:7" x14ac:dyDescent="0.35">
      <c r="F406" s="5"/>
      <c r="G406" s="7"/>
    </row>
    <row r="407" spans="6:7" x14ac:dyDescent="0.35">
      <c r="F407" s="5"/>
      <c r="G407" s="7"/>
    </row>
    <row r="408" spans="6:7" x14ac:dyDescent="0.35">
      <c r="F408" s="5"/>
      <c r="G408" s="7"/>
    </row>
    <row r="409" spans="6:7" x14ac:dyDescent="0.35">
      <c r="F409" s="5"/>
      <c r="G409" s="7"/>
    </row>
    <row r="410" spans="6:7" x14ac:dyDescent="0.35">
      <c r="F410" s="5"/>
      <c r="G410" s="7"/>
    </row>
    <row r="411" spans="6:7" x14ac:dyDescent="0.35">
      <c r="F411" s="5"/>
      <c r="G411" s="7"/>
    </row>
    <row r="412" spans="6:7" x14ac:dyDescent="0.35">
      <c r="F412" s="5"/>
      <c r="G412" s="7"/>
    </row>
    <row r="413" spans="6:7" x14ac:dyDescent="0.35">
      <c r="F413" s="5"/>
      <c r="G413" s="7"/>
    </row>
    <row r="414" spans="6:7" x14ac:dyDescent="0.35">
      <c r="F414" s="5"/>
      <c r="G414" s="7"/>
    </row>
    <row r="415" spans="6:7" x14ac:dyDescent="0.35">
      <c r="F415" s="5"/>
      <c r="G415" s="7"/>
    </row>
    <row r="416" spans="6:7" x14ac:dyDescent="0.35">
      <c r="F416" s="5"/>
      <c r="G416" s="7"/>
    </row>
    <row r="417" spans="6:7" x14ac:dyDescent="0.35">
      <c r="F417" s="5"/>
      <c r="G417" s="7"/>
    </row>
    <row r="418" spans="6:7" x14ac:dyDescent="0.35">
      <c r="F418" s="5"/>
      <c r="G418" s="7"/>
    </row>
    <row r="419" spans="6:7" x14ac:dyDescent="0.35">
      <c r="F419" s="5"/>
      <c r="G419" s="7"/>
    </row>
    <row r="420" spans="6:7" x14ac:dyDescent="0.35">
      <c r="F420" s="5"/>
      <c r="G420" s="7"/>
    </row>
    <row r="421" spans="6:7" x14ac:dyDescent="0.35">
      <c r="F421" s="5"/>
      <c r="G421" s="7"/>
    </row>
    <row r="422" spans="6:7" x14ac:dyDescent="0.35">
      <c r="F422" s="5"/>
      <c r="G422" s="7"/>
    </row>
    <row r="423" spans="6:7" x14ac:dyDescent="0.35">
      <c r="F423" s="5"/>
      <c r="G423" s="7"/>
    </row>
    <row r="424" spans="6:7" x14ac:dyDescent="0.35">
      <c r="F424" s="5"/>
      <c r="G424" s="7"/>
    </row>
    <row r="425" spans="6:7" x14ac:dyDescent="0.35">
      <c r="F425" s="5"/>
      <c r="G425" s="7"/>
    </row>
    <row r="426" spans="6:7" x14ac:dyDescent="0.35">
      <c r="F426" s="5"/>
      <c r="G426" s="7"/>
    </row>
    <row r="427" spans="6:7" x14ac:dyDescent="0.35">
      <c r="F427" s="5"/>
      <c r="G427" s="7"/>
    </row>
    <row r="428" spans="6:7" x14ac:dyDescent="0.35">
      <c r="F428" s="5"/>
      <c r="G428" s="7"/>
    </row>
    <row r="429" spans="6:7" x14ac:dyDescent="0.35">
      <c r="F429" s="5"/>
      <c r="G429" s="7"/>
    </row>
    <row r="430" spans="6:7" x14ac:dyDescent="0.35">
      <c r="F430" s="5"/>
      <c r="G430" s="7"/>
    </row>
    <row r="431" spans="6:7" x14ac:dyDescent="0.35">
      <c r="F431" s="5"/>
      <c r="G431" s="7"/>
    </row>
    <row r="432" spans="6:7" x14ac:dyDescent="0.35">
      <c r="F432" s="5"/>
      <c r="G432" s="7"/>
    </row>
    <row r="433" spans="6:7" x14ac:dyDescent="0.35">
      <c r="F433" s="5"/>
      <c r="G433" s="7"/>
    </row>
    <row r="434" spans="6:7" x14ac:dyDescent="0.35">
      <c r="F434" s="5"/>
      <c r="G434" s="7"/>
    </row>
    <row r="435" spans="6:7" x14ac:dyDescent="0.35">
      <c r="F435" s="5"/>
      <c r="G435" s="7"/>
    </row>
    <row r="436" spans="6:7" x14ac:dyDescent="0.35">
      <c r="F436" s="5"/>
      <c r="G436" s="7"/>
    </row>
    <row r="437" spans="6:7" x14ac:dyDescent="0.35">
      <c r="F437" s="5"/>
      <c r="G437" s="7"/>
    </row>
    <row r="438" spans="6:7" x14ac:dyDescent="0.35">
      <c r="F438" s="5"/>
      <c r="G438" s="7"/>
    </row>
    <row r="439" spans="6:7" x14ac:dyDescent="0.35">
      <c r="F439" s="5"/>
      <c r="G439" s="7"/>
    </row>
    <row r="440" spans="6:7" x14ac:dyDescent="0.35">
      <c r="F440" s="5"/>
      <c r="G440" s="7"/>
    </row>
    <row r="441" spans="6:7" x14ac:dyDescent="0.35">
      <c r="F441" s="5"/>
      <c r="G441" s="7"/>
    </row>
    <row r="442" spans="6:7" x14ac:dyDescent="0.35">
      <c r="F442" s="5"/>
      <c r="G442" s="7"/>
    </row>
    <row r="443" spans="6:7" x14ac:dyDescent="0.35">
      <c r="F443" s="5"/>
      <c r="G443" s="7"/>
    </row>
    <row r="444" spans="6:7" x14ac:dyDescent="0.35">
      <c r="F444" s="5"/>
      <c r="G444" s="7"/>
    </row>
    <row r="445" spans="6:7" x14ac:dyDescent="0.35">
      <c r="F445" s="5"/>
      <c r="G445" s="7"/>
    </row>
    <row r="446" spans="6:7" x14ac:dyDescent="0.35">
      <c r="F446" s="5"/>
      <c r="G446" s="7"/>
    </row>
    <row r="447" spans="6:7" x14ac:dyDescent="0.35">
      <c r="F447" s="5"/>
      <c r="G447" s="7"/>
    </row>
    <row r="448" spans="6:7" x14ac:dyDescent="0.35">
      <c r="F448" s="5"/>
      <c r="G448" s="7"/>
    </row>
    <row r="449" spans="6:7" x14ac:dyDescent="0.35">
      <c r="F449" s="5"/>
      <c r="G449" s="7"/>
    </row>
    <row r="450" spans="6:7" x14ac:dyDescent="0.35">
      <c r="F450" s="5"/>
      <c r="G450" s="7"/>
    </row>
    <row r="451" spans="6:7" x14ac:dyDescent="0.35">
      <c r="F451" s="5"/>
      <c r="G451" s="7"/>
    </row>
    <row r="452" spans="6:7" x14ac:dyDescent="0.35">
      <c r="F452" s="5"/>
      <c r="G452" s="7"/>
    </row>
    <row r="453" spans="6:7" x14ac:dyDescent="0.35">
      <c r="F453" s="5"/>
      <c r="G453" s="7"/>
    </row>
    <row r="454" spans="6:7" x14ac:dyDescent="0.35">
      <c r="F454" s="5"/>
      <c r="G454" s="7"/>
    </row>
    <row r="455" spans="6:7" x14ac:dyDescent="0.35">
      <c r="F455" s="5"/>
      <c r="G455" s="7"/>
    </row>
    <row r="456" spans="6:7" x14ac:dyDescent="0.35">
      <c r="F456" s="5"/>
      <c r="G456" s="7"/>
    </row>
    <row r="457" spans="6:7" x14ac:dyDescent="0.35">
      <c r="F457" s="5"/>
      <c r="G457" s="7"/>
    </row>
    <row r="458" spans="6:7" x14ac:dyDescent="0.35">
      <c r="F458" s="5"/>
      <c r="G458" s="7"/>
    </row>
    <row r="459" spans="6:7" x14ac:dyDescent="0.35">
      <c r="F459" s="5"/>
      <c r="G459" s="7"/>
    </row>
    <row r="460" spans="6:7" x14ac:dyDescent="0.35">
      <c r="F460" s="5"/>
      <c r="G460" s="7"/>
    </row>
    <row r="461" spans="6:7" x14ac:dyDescent="0.35">
      <c r="F461" s="5"/>
      <c r="G461" s="7"/>
    </row>
    <row r="462" spans="6:7" x14ac:dyDescent="0.35">
      <c r="F462" s="5"/>
      <c r="G462" s="7"/>
    </row>
    <row r="463" spans="6:7" x14ac:dyDescent="0.35">
      <c r="F463" s="5"/>
      <c r="G463" s="7"/>
    </row>
    <row r="464" spans="6:7" x14ac:dyDescent="0.35">
      <c r="F464" s="5"/>
      <c r="G464" s="7"/>
    </row>
    <row r="465" spans="6:7" x14ac:dyDescent="0.35">
      <c r="F465" s="5"/>
      <c r="G465" s="7"/>
    </row>
    <row r="466" spans="6:7" x14ac:dyDescent="0.35">
      <c r="F466" s="5"/>
      <c r="G466" s="7"/>
    </row>
    <row r="467" spans="6:7" x14ac:dyDescent="0.35">
      <c r="F467" s="5"/>
      <c r="G467" s="7"/>
    </row>
    <row r="468" spans="6:7" x14ac:dyDescent="0.35">
      <c r="F468" s="5"/>
      <c r="G468" s="7"/>
    </row>
    <row r="469" spans="6:7" x14ac:dyDescent="0.35">
      <c r="F469" s="5"/>
      <c r="G469" s="7"/>
    </row>
    <row r="470" spans="6:7" x14ac:dyDescent="0.35">
      <c r="F470" s="5"/>
      <c r="G470" s="7"/>
    </row>
    <row r="471" spans="6:7" x14ac:dyDescent="0.35">
      <c r="F471" s="5"/>
      <c r="G471" s="7"/>
    </row>
    <row r="472" spans="6:7" x14ac:dyDescent="0.35">
      <c r="F472" s="5"/>
      <c r="G472" s="7"/>
    </row>
    <row r="473" spans="6:7" x14ac:dyDescent="0.35">
      <c r="F473" s="5"/>
      <c r="G473" s="7"/>
    </row>
    <row r="474" spans="6:7" x14ac:dyDescent="0.35">
      <c r="F474" s="5"/>
      <c r="G474" s="7"/>
    </row>
    <row r="475" spans="6:7" x14ac:dyDescent="0.35">
      <c r="F475" s="5"/>
      <c r="G475" s="7"/>
    </row>
    <row r="476" spans="6:7" x14ac:dyDescent="0.35">
      <c r="F476" s="5"/>
      <c r="G476" s="7"/>
    </row>
    <row r="477" spans="6:7" x14ac:dyDescent="0.35">
      <c r="F477" s="5"/>
      <c r="G477" s="7"/>
    </row>
    <row r="478" spans="6:7" x14ac:dyDescent="0.35">
      <c r="F478" s="5"/>
      <c r="G478" s="7"/>
    </row>
    <row r="479" spans="6:7" x14ac:dyDescent="0.35">
      <c r="F479" s="5"/>
      <c r="G479" s="7"/>
    </row>
    <row r="480" spans="6:7" x14ac:dyDescent="0.35">
      <c r="F480" s="5"/>
      <c r="G480" s="7"/>
    </row>
    <row r="481" spans="6:7" x14ac:dyDescent="0.35">
      <c r="F481" s="5"/>
      <c r="G481" s="7"/>
    </row>
    <row r="482" spans="6:7" x14ac:dyDescent="0.35">
      <c r="F482" s="5"/>
      <c r="G482" s="7"/>
    </row>
    <row r="483" spans="6:7" x14ac:dyDescent="0.35">
      <c r="F483" s="5"/>
      <c r="G483" s="7"/>
    </row>
    <row r="484" spans="6:7" x14ac:dyDescent="0.35">
      <c r="F484" s="5"/>
      <c r="G484" s="7"/>
    </row>
    <row r="485" spans="6:7" x14ac:dyDescent="0.35">
      <c r="F485" s="5"/>
      <c r="G485" s="7"/>
    </row>
    <row r="486" spans="6:7" x14ac:dyDescent="0.35">
      <c r="F486" s="5"/>
      <c r="G486" s="7"/>
    </row>
    <row r="487" spans="6:7" x14ac:dyDescent="0.35">
      <c r="F487" s="5"/>
      <c r="G487" s="7"/>
    </row>
    <row r="488" spans="6:7" x14ac:dyDescent="0.35">
      <c r="F488" s="5"/>
      <c r="G488" s="7"/>
    </row>
    <row r="489" spans="6:7" x14ac:dyDescent="0.35">
      <c r="F489" s="5"/>
      <c r="G489" s="7"/>
    </row>
    <row r="490" spans="6:7" x14ac:dyDescent="0.35">
      <c r="F490" s="5"/>
      <c r="G490" s="7"/>
    </row>
    <row r="491" spans="6:7" x14ac:dyDescent="0.35">
      <c r="F491" s="5"/>
      <c r="G491" s="7"/>
    </row>
    <row r="492" spans="6:7" x14ac:dyDescent="0.35">
      <c r="F492" s="5"/>
      <c r="G492" s="7"/>
    </row>
    <row r="493" spans="6:7" x14ac:dyDescent="0.35">
      <c r="F493" s="5"/>
      <c r="G493" s="7"/>
    </row>
    <row r="494" spans="6:7" x14ac:dyDescent="0.35">
      <c r="F494" s="5"/>
      <c r="G494" s="7"/>
    </row>
    <row r="495" spans="6:7" x14ac:dyDescent="0.35">
      <c r="F495" s="5"/>
      <c r="G495" s="7"/>
    </row>
    <row r="496" spans="6:7" x14ac:dyDescent="0.35">
      <c r="F496" s="5"/>
      <c r="G496" s="7"/>
    </row>
    <row r="497" spans="6:7" x14ac:dyDescent="0.35">
      <c r="F497" s="5"/>
      <c r="G497" s="7"/>
    </row>
    <row r="498" spans="6:7" x14ac:dyDescent="0.35">
      <c r="F498" s="5"/>
      <c r="G498" s="7"/>
    </row>
    <row r="499" spans="6:7" x14ac:dyDescent="0.35">
      <c r="F499" s="5"/>
      <c r="G499" s="7"/>
    </row>
    <row r="500" spans="6:7" x14ac:dyDescent="0.35">
      <c r="F500" s="5"/>
      <c r="G500" s="7"/>
    </row>
    <row r="501" spans="6:7" x14ac:dyDescent="0.35">
      <c r="F501" s="5"/>
      <c r="G501" s="7"/>
    </row>
    <row r="502" spans="6:7" x14ac:dyDescent="0.35">
      <c r="F502" s="5"/>
      <c r="G502" s="7"/>
    </row>
    <row r="503" spans="6:7" x14ac:dyDescent="0.35">
      <c r="F503" s="5"/>
      <c r="G503" s="7"/>
    </row>
    <row r="504" spans="6:7" x14ac:dyDescent="0.35">
      <c r="F504" s="5"/>
      <c r="G504" s="7"/>
    </row>
    <row r="505" spans="6:7" x14ac:dyDescent="0.35">
      <c r="F505" s="5"/>
      <c r="G505" s="7"/>
    </row>
    <row r="506" spans="6:7" x14ac:dyDescent="0.35">
      <c r="F506" s="5"/>
      <c r="G506" s="7"/>
    </row>
    <row r="507" spans="6:7" x14ac:dyDescent="0.35">
      <c r="F507" s="5"/>
      <c r="G507" s="7"/>
    </row>
    <row r="508" spans="6:7" x14ac:dyDescent="0.35">
      <c r="F508" s="5"/>
      <c r="G508" s="7"/>
    </row>
    <row r="509" spans="6:7" x14ac:dyDescent="0.35">
      <c r="F509" s="5"/>
      <c r="G509" s="7"/>
    </row>
    <row r="510" spans="6:7" x14ac:dyDescent="0.35">
      <c r="F510" s="5"/>
      <c r="G510" s="7"/>
    </row>
    <row r="511" spans="6:7" x14ac:dyDescent="0.35">
      <c r="F511" s="5"/>
      <c r="G511" s="7"/>
    </row>
    <row r="512" spans="6:7" x14ac:dyDescent="0.35">
      <c r="F512" s="5"/>
      <c r="G512" s="7"/>
    </row>
    <row r="513" spans="6:7" x14ac:dyDescent="0.35">
      <c r="F513" s="5"/>
      <c r="G513" s="7"/>
    </row>
    <row r="514" spans="6:7" x14ac:dyDescent="0.35">
      <c r="F514" s="5"/>
      <c r="G514" s="7"/>
    </row>
    <row r="515" spans="6:7" x14ac:dyDescent="0.35">
      <c r="F515" s="5"/>
      <c r="G515" s="7"/>
    </row>
    <row r="516" spans="6:7" x14ac:dyDescent="0.35">
      <c r="F516" s="5"/>
      <c r="G516" s="7"/>
    </row>
    <row r="517" spans="6:7" x14ac:dyDescent="0.35">
      <c r="F517" s="5"/>
      <c r="G517" s="7"/>
    </row>
    <row r="518" spans="6:7" x14ac:dyDescent="0.35">
      <c r="F518" s="5"/>
      <c r="G518" s="7"/>
    </row>
    <row r="519" spans="6:7" x14ac:dyDescent="0.35">
      <c r="F519" s="5"/>
      <c r="G519" s="7"/>
    </row>
    <row r="520" spans="6:7" x14ac:dyDescent="0.35">
      <c r="F520" s="5"/>
      <c r="G520" s="7"/>
    </row>
    <row r="521" spans="6:7" x14ac:dyDescent="0.35">
      <c r="F521" s="5"/>
      <c r="G521" s="7"/>
    </row>
    <row r="522" spans="6:7" x14ac:dyDescent="0.35">
      <c r="F522" s="5"/>
      <c r="G522" s="7"/>
    </row>
    <row r="523" spans="6:7" x14ac:dyDescent="0.35">
      <c r="F523" s="5"/>
      <c r="G523" s="7"/>
    </row>
    <row r="524" spans="6:7" x14ac:dyDescent="0.35">
      <c r="F524" s="5"/>
      <c r="G524" s="7"/>
    </row>
    <row r="525" spans="6:7" x14ac:dyDescent="0.35">
      <c r="F525" s="5"/>
      <c r="G525" s="7"/>
    </row>
    <row r="526" spans="6:7" x14ac:dyDescent="0.35">
      <c r="F526" s="5"/>
      <c r="G526" s="7"/>
    </row>
    <row r="527" spans="6:7" x14ac:dyDescent="0.35">
      <c r="F527" s="5"/>
      <c r="G527" s="7"/>
    </row>
    <row r="528" spans="6:7" x14ac:dyDescent="0.35">
      <c r="F528" s="5"/>
      <c r="G528" s="7"/>
    </row>
    <row r="529" spans="6:7" x14ac:dyDescent="0.35">
      <c r="F529" s="5"/>
      <c r="G529" s="7"/>
    </row>
    <row r="530" spans="6:7" x14ac:dyDescent="0.35">
      <c r="F530" s="5"/>
      <c r="G530" s="7"/>
    </row>
    <row r="531" spans="6:7" x14ac:dyDescent="0.35">
      <c r="F531" s="5"/>
      <c r="G531" s="7"/>
    </row>
    <row r="532" spans="6:7" x14ac:dyDescent="0.35">
      <c r="F532" s="5"/>
      <c r="G532" s="7"/>
    </row>
    <row r="533" spans="6:7" x14ac:dyDescent="0.35">
      <c r="F533" s="5"/>
      <c r="G533" s="7"/>
    </row>
    <row r="534" spans="6:7" x14ac:dyDescent="0.35">
      <c r="F534" s="5"/>
      <c r="G534" s="7"/>
    </row>
    <row r="535" spans="6:7" x14ac:dyDescent="0.35">
      <c r="F535" s="5"/>
      <c r="G535" s="7"/>
    </row>
    <row r="536" spans="6:7" x14ac:dyDescent="0.35">
      <c r="F536" s="5"/>
      <c r="G536" s="7"/>
    </row>
    <row r="537" spans="6:7" x14ac:dyDescent="0.35">
      <c r="F537" s="5"/>
      <c r="G537" s="7"/>
    </row>
    <row r="538" spans="6:7" x14ac:dyDescent="0.35">
      <c r="F538" s="5"/>
      <c r="G538" s="7"/>
    </row>
    <row r="539" spans="6:7" x14ac:dyDescent="0.35">
      <c r="F539" s="5"/>
      <c r="G539" s="7"/>
    </row>
    <row r="540" spans="6:7" x14ac:dyDescent="0.35">
      <c r="F540" s="5"/>
      <c r="G540" s="7"/>
    </row>
    <row r="541" spans="6:7" x14ac:dyDescent="0.35">
      <c r="F541" s="5"/>
      <c r="G541" s="7"/>
    </row>
    <row r="542" spans="6:7" x14ac:dyDescent="0.35">
      <c r="F542" s="5"/>
      <c r="G542" s="7"/>
    </row>
    <row r="543" spans="6:7" x14ac:dyDescent="0.35">
      <c r="F543" s="5"/>
      <c r="G543" s="7"/>
    </row>
    <row r="544" spans="6:7" x14ac:dyDescent="0.35">
      <c r="F544" s="5"/>
      <c r="G544" s="7"/>
    </row>
    <row r="545" spans="6:7" x14ac:dyDescent="0.35">
      <c r="F545" s="5"/>
      <c r="G545" s="7"/>
    </row>
    <row r="546" spans="6:7" x14ac:dyDescent="0.35">
      <c r="F546" s="5"/>
      <c r="G546" s="7"/>
    </row>
    <row r="547" spans="6:7" x14ac:dyDescent="0.35">
      <c r="F547" s="5"/>
      <c r="G547" s="7"/>
    </row>
    <row r="548" spans="6:7" x14ac:dyDescent="0.35">
      <c r="F548" s="5"/>
      <c r="G548" s="7"/>
    </row>
    <row r="549" spans="6:7" x14ac:dyDescent="0.35">
      <c r="F549" s="5"/>
      <c r="G549" s="7"/>
    </row>
    <row r="550" spans="6:7" x14ac:dyDescent="0.35">
      <c r="F550" s="5"/>
      <c r="G550" s="7"/>
    </row>
    <row r="551" spans="6:7" x14ac:dyDescent="0.35">
      <c r="F551" s="5"/>
      <c r="G551" s="7"/>
    </row>
    <row r="552" spans="6:7" x14ac:dyDescent="0.35">
      <c r="F552" s="5"/>
      <c r="G552" s="7"/>
    </row>
    <row r="553" spans="6:7" x14ac:dyDescent="0.35">
      <c r="F553" s="5"/>
      <c r="G553" s="7"/>
    </row>
    <row r="554" spans="6:7" x14ac:dyDescent="0.35">
      <c r="F554" s="5"/>
      <c r="G554" s="7"/>
    </row>
    <row r="555" spans="6:7" x14ac:dyDescent="0.35">
      <c r="F555" s="5"/>
      <c r="G555" s="7"/>
    </row>
    <row r="556" spans="6:7" x14ac:dyDescent="0.35">
      <c r="F556" s="5"/>
      <c r="G556" s="7"/>
    </row>
    <row r="557" spans="6:7" x14ac:dyDescent="0.35">
      <c r="F557" s="5"/>
      <c r="G557" s="7"/>
    </row>
    <row r="558" spans="6:7" x14ac:dyDescent="0.35">
      <c r="F558" s="5"/>
      <c r="G558" s="7"/>
    </row>
    <row r="559" spans="6:7" x14ac:dyDescent="0.35">
      <c r="F559" s="5"/>
      <c r="G559" s="7"/>
    </row>
    <row r="560" spans="6:7" x14ac:dyDescent="0.35">
      <c r="F560" s="5"/>
      <c r="G560" s="7"/>
    </row>
    <row r="561" spans="6:7" x14ac:dyDescent="0.35">
      <c r="F561" s="5"/>
      <c r="G561" s="7"/>
    </row>
    <row r="562" spans="6:7" x14ac:dyDescent="0.35">
      <c r="F562" s="5"/>
      <c r="G562" s="7"/>
    </row>
    <row r="563" spans="6:7" x14ac:dyDescent="0.35">
      <c r="F563" s="5"/>
      <c r="G563" s="7"/>
    </row>
    <row r="564" spans="6:7" x14ac:dyDescent="0.35">
      <c r="F564" s="5"/>
      <c r="G564" s="7"/>
    </row>
    <row r="565" spans="6:7" x14ac:dyDescent="0.35">
      <c r="F565" s="5"/>
      <c r="G565" s="7"/>
    </row>
    <row r="566" spans="6:7" x14ac:dyDescent="0.35">
      <c r="F566" s="5"/>
      <c r="G566" s="7"/>
    </row>
    <row r="567" spans="6:7" x14ac:dyDescent="0.35">
      <c r="F567" s="5"/>
      <c r="G567" s="7"/>
    </row>
    <row r="568" spans="6:7" x14ac:dyDescent="0.35">
      <c r="F568" s="5"/>
      <c r="G568" s="7"/>
    </row>
    <row r="569" spans="6:7" x14ac:dyDescent="0.35">
      <c r="F569" s="5"/>
      <c r="G569" s="7"/>
    </row>
    <row r="570" spans="6:7" x14ac:dyDescent="0.35">
      <c r="F570" s="5"/>
      <c r="G570" s="7"/>
    </row>
    <row r="571" spans="6:7" x14ac:dyDescent="0.35">
      <c r="F571" s="5"/>
      <c r="G571" s="7"/>
    </row>
    <row r="572" spans="6:7" x14ac:dyDescent="0.35">
      <c r="F572" s="5"/>
      <c r="G572" s="7"/>
    </row>
    <row r="573" spans="6:7" x14ac:dyDescent="0.35">
      <c r="F573" s="5"/>
      <c r="G573" s="7"/>
    </row>
    <row r="574" spans="6:7" x14ac:dyDescent="0.35">
      <c r="F574" s="5"/>
      <c r="G574" s="7"/>
    </row>
    <row r="575" spans="6:7" x14ac:dyDescent="0.35">
      <c r="F575" s="5"/>
      <c r="G575" s="7"/>
    </row>
    <row r="576" spans="6:7" x14ac:dyDescent="0.35">
      <c r="F576" s="5"/>
      <c r="G576" s="7"/>
    </row>
    <row r="577" spans="6:7" x14ac:dyDescent="0.35">
      <c r="F577" s="5"/>
      <c r="G577" s="7"/>
    </row>
    <row r="578" spans="6:7" x14ac:dyDescent="0.35">
      <c r="F578" s="5"/>
      <c r="G578" s="7"/>
    </row>
    <row r="579" spans="6:7" x14ac:dyDescent="0.35">
      <c r="F579" s="5"/>
      <c r="G579" s="7"/>
    </row>
    <row r="580" spans="6:7" x14ac:dyDescent="0.35">
      <c r="F580" s="5"/>
      <c r="G580" s="7"/>
    </row>
    <row r="581" spans="6:7" x14ac:dyDescent="0.35">
      <c r="F581" s="5"/>
      <c r="G581" s="7"/>
    </row>
    <row r="582" spans="6:7" x14ac:dyDescent="0.35">
      <c r="F582" s="5"/>
      <c r="G582" s="7"/>
    </row>
    <row r="583" spans="6:7" x14ac:dyDescent="0.35">
      <c r="F583" s="5"/>
      <c r="G583" s="7"/>
    </row>
    <row r="584" spans="6:7" x14ac:dyDescent="0.35">
      <c r="F584" s="5"/>
      <c r="G584" s="7"/>
    </row>
    <row r="585" spans="6:7" x14ac:dyDescent="0.35">
      <c r="F585" s="5"/>
      <c r="G585" s="7"/>
    </row>
    <row r="586" spans="6:7" x14ac:dyDescent="0.35">
      <c r="F586" s="5"/>
      <c r="G586" s="7"/>
    </row>
    <row r="587" spans="6:7" x14ac:dyDescent="0.35">
      <c r="F587" s="5"/>
      <c r="G587" s="7"/>
    </row>
    <row r="588" spans="6:7" x14ac:dyDescent="0.35">
      <c r="F588" s="5"/>
      <c r="G588" s="7"/>
    </row>
    <row r="589" spans="6:7" x14ac:dyDescent="0.35">
      <c r="F589" s="5"/>
      <c r="G589" s="7"/>
    </row>
    <row r="590" spans="6:7" x14ac:dyDescent="0.35">
      <c r="F590" s="5"/>
      <c r="G590" s="7"/>
    </row>
    <row r="591" spans="6:7" x14ac:dyDescent="0.35">
      <c r="F591" s="5"/>
      <c r="G591" s="7"/>
    </row>
    <row r="592" spans="6:7" x14ac:dyDescent="0.35">
      <c r="F592" s="5"/>
      <c r="G592" s="7"/>
    </row>
    <row r="593" spans="6:7" x14ac:dyDescent="0.35">
      <c r="F593" s="5"/>
      <c r="G593" s="7"/>
    </row>
    <row r="594" spans="6:7" x14ac:dyDescent="0.35">
      <c r="F594" s="5"/>
      <c r="G594" s="7"/>
    </row>
    <row r="595" spans="6:7" x14ac:dyDescent="0.35">
      <c r="F595" s="5"/>
      <c r="G595" s="7"/>
    </row>
    <row r="596" spans="6:7" x14ac:dyDescent="0.35">
      <c r="F596" s="5"/>
      <c r="G596" s="7"/>
    </row>
    <row r="597" spans="6:7" x14ac:dyDescent="0.35">
      <c r="F597" s="5"/>
      <c r="G597" s="7"/>
    </row>
    <row r="598" spans="6:7" x14ac:dyDescent="0.35">
      <c r="F598" s="5"/>
      <c r="G598" s="7"/>
    </row>
    <row r="599" spans="6:7" x14ac:dyDescent="0.35">
      <c r="F599" s="5"/>
      <c r="G599" s="7"/>
    </row>
    <row r="600" spans="6:7" x14ac:dyDescent="0.35">
      <c r="F600" s="5"/>
      <c r="G600" s="7"/>
    </row>
    <row r="601" spans="6:7" x14ac:dyDescent="0.35">
      <c r="F601" s="5"/>
      <c r="G601" s="7"/>
    </row>
    <row r="602" spans="6:7" x14ac:dyDescent="0.35">
      <c r="F602" s="5"/>
      <c r="G602" s="7"/>
    </row>
    <row r="603" spans="6:7" x14ac:dyDescent="0.35">
      <c r="F603" s="5"/>
      <c r="G603" s="7"/>
    </row>
    <row r="604" spans="6:7" x14ac:dyDescent="0.35">
      <c r="F604" s="5"/>
      <c r="G604" s="7"/>
    </row>
    <row r="605" spans="6:7" x14ac:dyDescent="0.35">
      <c r="F605" s="5"/>
      <c r="G605" s="7"/>
    </row>
    <row r="606" spans="6:7" x14ac:dyDescent="0.35">
      <c r="F606" s="5"/>
      <c r="G606" s="7"/>
    </row>
    <row r="607" spans="6:7" x14ac:dyDescent="0.35">
      <c r="F607" s="5"/>
      <c r="G607" s="7"/>
    </row>
    <row r="608" spans="6:7" x14ac:dyDescent="0.35">
      <c r="F608" s="5"/>
      <c r="G608" s="7"/>
    </row>
    <row r="609" spans="6:7" x14ac:dyDescent="0.35">
      <c r="F609" s="5"/>
      <c r="G609" s="7"/>
    </row>
    <row r="610" spans="6:7" x14ac:dyDescent="0.35">
      <c r="F610" s="5"/>
      <c r="G610" s="7"/>
    </row>
    <row r="611" spans="6:7" x14ac:dyDescent="0.35">
      <c r="F611" s="5"/>
      <c r="G611" s="7"/>
    </row>
    <row r="612" spans="6:7" x14ac:dyDescent="0.35">
      <c r="F612" s="5"/>
      <c r="G612" s="7"/>
    </row>
    <row r="613" spans="6:7" x14ac:dyDescent="0.35">
      <c r="F613" s="5"/>
      <c r="G613" s="7"/>
    </row>
    <row r="614" spans="6:7" x14ac:dyDescent="0.35">
      <c r="F614" s="5"/>
      <c r="G614" s="7"/>
    </row>
    <row r="615" spans="6:7" x14ac:dyDescent="0.35">
      <c r="F615" s="5"/>
      <c r="G615" s="7"/>
    </row>
    <row r="616" spans="6:7" x14ac:dyDescent="0.35">
      <c r="F616" s="5"/>
      <c r="G616" s="7"/>
    </row>
    <row r="617" spans="6:7" x14ac:dyDescent="0.35">
      <c r="F617" s="5"/>
      <c r="G617" s="7"/>
    </row>
    <row r="618" spans="6:7" x14ac:dyDescent="0.35">
      <c r="F618" s="5"/>
      <c r="G618" s="7"/>
    </row>
    <row r="619" spans="6:7" x14ac:dyDescent="0.35">
      <c r="F619" s="5"/>
      <c r="G619" s="7"/>
    </row>
    <row r="620" spans="6:7" x14ac:dyDescent="0.35">
      <c r="F620" s="5"/>
      <c r="G620" s="7"/>
    </row>
    <row r="621" spans="6:7" x14ac:dyDescent="0.35">
      <c r="F621" s="5"/>
      <c r="G621" s="7"/>
    </row>
    <row r="622" spans="6:7" x14ac:dyDescent="0.35">
      <c r="F622" s="5"/>
      <c r="G622" s="7"/>
    </row>
    <row r="623" spans="6:7" x14ac:dyDescent="0.35">
      <c r="F623" s="5"/>
      <c r="G623" s="7"/>
    </row>
    <row r="624" spans="6:7" x14ac:dyDescent="0.35">
      <c r="F624" s="5"/>
      <c r="G624" s="7"/>
    </row>
    <row r="625" spans="6:7" x14ac:dyDescent="0.35">
      <c r="F625" s="5"/>
      <c r="G625" s="7"/>
    </row>
    <row r="626" spans="6:7" x14ac:dyDescent="0.35">
      <c r="F626" s="5"/>
      <c r="G626" s="7"/>
    </row>
    <row r="627" spans="6:7" x14ac:dyDescent="0.35">
      <c r="F627" s="5"/>
      <c r="G627" s="7"/>
    </row>
    <row r="628" spans="6:7" x14ac:dyDescent="0.35">
      <c r="F628" s="5"/>
      <c r="G628" s="7"/>
    </row>
    <row r="629" spans="6:7" x14ac:dyDescent="0.35">
      <c r="F629" s="5"/>
      <c r="G629" s="7"/>
    </row>
    <row r="630" spans="6:7" x14ac:dyDescent="0.35">
      <c r="F630" s="5"/>
      <c r="G630" s="7"/>
    </row>
    <row r="631" spans="6:7" x14ac:dyDescent="0.35">
      <c r="F631" s="5"/>
      <c r="G631" s="7"/>
    </row>
    <row r="632" spans="6:7" x14ac:dyDescent="0.35">
      <c r="F632" s="5"/>
      <c r="G632" s="7"/>
    </row>
    <row r="633" spans="6:7" x14ac:dyDescent="0.35">
      <c r="F633" s="5"/>
      <c r="G633" s="7"/>
    </row>
    <row r="634" spans="6:7" x14ac:dyDescent="0.35">
      <c r="F634" s="5"/>
      <c r="G634" s="7"/>
    </row>
    <row r="635" spans="6:7" x14ac:dyDescent="0.35">
      <c r="F635" s="5"/>
      <c r="G635" s="7"/>
    </row>
    <row r="636" spans="6:7" x14ac:dyDescent="0.35">
      <c r="F636" s="5"/>
      <c r="G636" s="7"/>
    </row>
    <row r="637" spans="6:7" x14ac:dyDescent="0.35">
      <c r="F637" s="5"/>
      <c r="G637" s="7"/>
    </row>
    <row r="638" spans="6:7" x14ac:dyDescent="0.35">
      <c r="F638" s="5"/>
      <c r="G638" s="7"/>
    </row>
    <row r="639" spans="6:7" x14ac:dyDescent="0.35">
      <c r="F639" s="5"/>
      <c r="G639" s="7"/>
    </row>
    <row r="640" spans="6:7" x14ac:dyDescent="0.35">
      <c r="F640" s="5"/>
      <c r="G640" s="7"/>
    </row>
    <row r="641" spans="6:7" x14ac:dyDescent="0.35">
      <c r="F641" s="5"/>
      <c r="G641" s="7"/>
    </row>
    <row r="642" spans="6:7" x14ac:dyDescent="0.35">
      <c r="F642" s="5"/>
      <c r="G642" s="7"/>
    </row>
    <row r="643" spans="6:7" x14ac:dyDescent="0.35">
      <c r="F643" s="5"/>
      <c r="G643" s="7"/>
    </row>
    <row r="644" spans="6:7" x14ac:dyDescent="0.35">
      <c r="F644" s="5"/>
      <c r="G644" s="7"/>
    </row>
    <row r="645" spans="6:7" x14ac:dyDescent="0.35">
      <c r="F645" s="5"/>
      <c r="G645" s="7"/>
    </row>
    <row r="646" spans="6:7" x14ac:dyDescent="0.35">
      <c r="F646" s="5"/>
      <c r="G646" s="7"/>
    </row>
    <row r="647" spans="6:7" x14ac:dyDescent="0.35">
      <c r="F647" s="5"/>
      <c r="G647" s="7"/>
    </row>
    <row r="648" spans="6:7" x14ac:dyDescent="0.35">
      <c r="F648" s="5"/>
      <c r="G648" s="7"/>
    </row>
    <row r="649" spans="6:7" x14ac:dyDescent="0.35">
      <c r="F649" s="5"/>
      <c r="G649" s="7"/>
    </row>
    <row r="650" spans="6:7" x14ac:dyDescent="0.35">
      <c r="F650" s="5"/>
      <c r="G650" s="7"/>
    </row>
    <row r="651" spans="6:7" x14ac:dyDescent="0.35">
      <c r="F651" s="5"/>
      <c r="G651" s="7"/>
    </row>
    <row r="652" spans="6:7" x14ac:dyDescent="0.35">
      <c r="F652" s="5"/>
      <c r="G652" s="7"/>
    </row>
    <row r="653" spans="6:7" x14ac:dyDescent="0.35">
      <c r="F653" s="5"/>
      <c r="G653" s="7"/>
    </row>
    <row r="654" spans="6:7" x14ac:dyDescent="0.35">
      <c r="F654" s="5"/>
      <c r="G654" s="7"/>
    </row>
    <row r="655" spans="6:7" x14ac:dyDescent="0.35">
      <c r="F655" s="5"/>
      <c r="G655" s="7"/>
    </row>
    <row r="656" spans="6:7" x14ac:dyDescent="0.35">
      <c r="F656" s="5"/>
      <c r="G656" s="7"/>
    </row>
    <row r="657" spans="6:7" x14ac:dyDescent="0.35">
      <c r="F657" s="5"/>
      <c r="G657" s="7"/>
    </row>
    <row r="658" spans="6:7" x14ac:dyDescent="0.35">
      <c r="F658" s="5"/>
      <c r="G658" s="7"/>
    </row>
    <row r="659" spans="6:7" x14ac:dyDescent="0.35">
      <c r="F659" s="5"/>
      <c r="G659" s="7"/>
    </row>
    <row r="660" spans="6:7" x14ac:dyDescent="0.35">
      <c r="F660" s="5"/>
      <c r="G660" s="7"/>
    </row>
    <row r="661" spans="6:7" x14ac:dyDescent="0.35">
      <c r="F661" s="5"/>
      <c r="G661" s="7"/>
    </row>
    <row r="662" spans="6:7" x14ac:dyDescent="0.35">
      <c r="F662" s="5"/>
      <c r="G662" s="7"/>
    </row>
    <row r="663" spans="6:7" x14ac:dyDescent="0.35">
      <c r="F663" s="5"/>
      <c r="G663" s="7"/>
    </row>
    <row r="664" spans="6:7" x14ac:dyDescent="0.35">
      <c r="F664" s="5"/>
      <c r="G664" s="7"/>
    </row>
    <row r="665" spans="6:7" x14ac:dyDescent="0.35">
      <c r="F665" s="5"/>
      <c r="G665" s="7"/>
    </row>
    <row r="666" spans="6:7" x14ac:dyDescent="0.35">
      <c r="F666" s="5"/>
      <c r="G666" s="7"/>
    </row>
    <row r="667" spans="6:7" x14ac:dyDescent="0.35">
      <c r="F667" s="5"/>
      <c r="G667" s="7"/>
    </row>
    <row r="668" spans="6:7" x14ac:dyDescent="0.35">
      <c r="F668" s="5"/>
      <c r="G668" s="7"/>
    </row>
    <row r="669" spans="6:7" x14ac:dyDescent="0.35">
      <c r="F669" s="5"/>
      <c r="G669" s="7"/>
    </row>
    <row r="670" spans="6:7" x14ac:dyDescent="0.35">
      <c r="F670" s="5"/>
      <c r="G670" s="7"/>
    </row>
    <row r="671" spans="6:7" x14ac:dyDescent="0.35">
      <c r="F671" s="5"/>
      <c r="G671" s="7"/>
    </row>
    <row r="672" spans="6:7" x14ac:dyDescent="0.35">
      <c r="F672" s="5"/>
      <c r="G672" s="7"/>
    </row>
    <row r="673" spans="6:7" x14ac:dyDescent="0.35">
      <c r="F673" s="5"/>
      <c r="G673" s="7"/>
    </row>
    <row r="674" spans="6:7" x14ac:dyDescent="0.35">
      <c r="F674" s="5"/>
      <c r="G674" s="7"/>
    </row>
    <row r="675" spans="6:7" x14ac:dyDescent="0.35">
      <c r="F675" s="5"/>
      <c r="G675" s="7"/>
    </row>
    <row r="676" spans="6:7" x14ac:dyDescent="0.35">
      <c r="F676" s="5"/>
      <c r="G676" s="7"/>
    </row>
    <row r="677" spans="6:7" x14ac:dyDescent="0.35">
      <c r="F677" s="5"/>
      <c r="G677" s="7"/>
    </row>
    <row r="678" spans="6:7" x14ac:dyDescent="0.35">
      <c r="F678" s="5"/>
      <c r="G678" s="7"/>
    </row>
    <row r="679" spans="6:7" x14ac:dyDescent="0.35">
      <c r="F679" s="5"/>
      <c r="G679" s="7"/>
    </row>
    <row r="680" spans="6:7" x14ac:dyDescent="0.35">
      <c r="F680" s="5"/>
      <c r="G680" s="7"/>
    </row>
    <row r="681" spans="6:7" x14ac:dyDescent="0.35">
      <c r="F681" s="5"/>
      <c r="G681" s="7"/>
    </row>
    <row r="682" spans="6:7" x14ac:dyDescent="0.35">
      <c r="F682" s="5"/>
      <c r="G682" s="7"/>
    </row>
    <row r="683" spans="6:7" x14ac:dyDescent="0.35">
      <c r="F683" s="5"/>
      <c r="G683" s="7"/>
    </row>
    <row r="684" spans="6:7" x14ac:dyDescent="0.35">
      <c r="F684" s="5"/>
      <c r="G684" s="7"/>
    </row>
    <row r="685" spans="6:7" x14ac:dyDescent="0.35">
      <c r="F685" s="5"/>
      <c r="G685" s="7"/>
    </row>
    <row r="686" spans="6:7" x14ac:dyDescent="0.35">
      <c r="F686" s="5"/>
      <c r="G686" s="7"/>
    </row>
    <row r="687" spans="6:7" x14ac:dyDescent="0.35">
      <c r="F687" s="5"/>
      <c r="G687" s="7"/>
    </row>
    <row r="688" spans="6:7" x14ac:dyDescent="0.35">
      <c r="F688" s="5"/>
      <c r="G688" s="7"/>
    </row>
    <row r="689" spans="6:7" x14ac:dyDescent="0.35">
      <c r="F689" s="5"/>
      <c r="G689" s="7"/>
    </row>
    <row r="690" spans="6:7" x14ac:dyDescent="0.35">
      <c r="F690" s="5"/>
      <c r="G690" s="7"/>
    </row>
    <row r="691" spans="6:7" x14ac:dyDescent="0.35">
      <c r="F691" s="5"/>
      <c r="G691" s="7"/>
    </row>
    <row r="692" spans="6:7" x14ac:dyDescent="0.35">
      <c r="F692" s="5"/>
      <c r="G692" s="7"/>
    </row>
    <row r="693" spans="6:7" x14ac:dyDescent="0.35">
      <c r="F693" s="5"/>
      <c r="G693" s="7"/>
    </row>
    <row r="694" spans="6:7" x14ac:dyDescent="0.35">
      <c r="F694" s="5"/>
      <c r="G694" s="7"/>
    </row>
    <row r="695" spans="6:7" x14ac:dyDescent="0.35">
      <c r="F695" s="5"/>
      <c r="G695" s="7"/>
    </row>
    <row r="696" spans="6:7" x14ac:dyDescent="0.35">
      <c r="F696" s="5"/>
      <c r="G696" s="7"/>
    </row>
    <row r="697" spans="6:7" x14ac:dyDescent="0.35">
      <c r="F697" s="5"/>
      <c r="G697" s="7"/>
    </row>
    <row r="698" spans="6:7" x14ac:dyDescent="0.35">
      <c r="F698" s="5"/>
      <c r="G698" s="7"/>
    </row>
    <row r="699" spans="6:7" x14ac:dyDescent="0.35">
      <c r="F699" s="5"/>
      <c r="G699" s="7"/>
    </row>
    <row r="700" spans="6:7" x14ac:dyDescent="0.35">
      <c r="F700" s="5"/>
      <c r="G700" s="7"/>
    </row>
    <row r="701" spans="6:7" x14ac:dyDescent="0.35">
      <c r="F701" s="5"/>
      <c r="G701" s="7"/>
    </row>
    <row r="702" spans="6:7" x14ac:dyDescent="0.35">
      <c r="F702" s="5"/>
      <c r="G702" s="7"/>
    </row>
    <row r="703" spans="6:7" x14ac:dyDescent="0.35">
      <c r="F703" s="5"/>
      <c r="G703" s="7"/>
    </row>
    <row r="704" spans="6:7" x14ac:dyDescent="0.35">
      <c r="F704" s="5"/>
      <c r="G704" s="7"/>
    </row>
    <row r="705" spans="6:7" x14ac:dyDescent="0.35">
      <c r="F705" s="5"/>
      <c r="G705" s="7"/>
    </row>
    <row r="706" spans="6:7" x14ac:dyDescent="0.35">
      <c r="F706" s="5"/>
      <c r="G706" s="7"/>
    </row>
    <row r="707" spans="6:7" x14ac:dyDescent="0.35">
      <c r="F707" s="5"/>
      <c r="G707" s="7"/>
    </row>
    <row r="708" spans="6:7" x14ac:dyDescent="0.35">
      <c r="F708" s="5"/>
      <c r="G708" s="7"/>
    </row>
    <row r="709" spans="6:7" x14ac:dyDescent="0.35">
      <c r="F709" s="5"/>
      <c r="G709" s="7"/>
    </row>
    <row r="710" spans="6:7" x14ac:dyDescent="0.35">
      <c r="F710" s="5"/>
      <c r="G710" s="7"/>
    </row>
    <row r="711" spans="6:7" x14ac:dyDescent="0.35">
      <c r="F711" s="5"/>
      <c r="G711" s="7"/>
    </row>
    <row r="712" spans="6:7" x14ac:dyDescent="0.35">
      <c r="F712" s="5"/>
      <c r="G712" s="7"/>
    </row>
    <row r="713" spans="6:7" x14ac:dyDescent="0.35">
      <c r="F713" s="5"/>
      <c r="G713" s="7"/>
    </row>
    <row r="714" spans="6:7" x14ac:dyDescent="0.35">
      <c r="F714" s="5"/>
      <c r="G714" s="7"/>
    </row>
    <row r="715" spans="6:7" x14ac:dyDescent="0.35">
      <c r="F715" s="5"/>
      <c r="G715" s="7"/>
    </row>
    <row r="716" spans="6:7" x14ac:dyDescent="0.35">
      <c r="F716" s="5"/>
      <c r="G716" s="7"/>
    </row>
    <row r="717" spans="6:7" x14ac:dyDescent="0.35">
      <c r="F717" s="5"/>
      <c r="G717" s="7"/>
    </row>
    <row r="718" spans="6:7" x14ac:dyDescent="0.35">
      <c r="F718" s="5"/>
      <c r="G718" s="7"/>
    </row>
    <row r="719" spans="6:7" x14ac:dyDescent="0.35">
      <c r="F719" s="5"/>
      <c r="G719" s="7"/>
    </row>
    <row r="720" spans="6:7" x14ac:dyDescent="0.35">
      <c r="F720" s="5"/>
      <c r="G720" s="7"/>
    </row>
    <row r="721" spans="6:7" x14ac:dyDescent="0.35">
      <c r="F721" s="5"/>
      <c r="G721" s="7"/>
    </row>
    <row r="722" spans="6:7" x14ac:dyDescent="0.35">
      <c r="F722" s="5"/>
      <c r="G722" s="7"/>
    </row>
    <row r="723" spans="6:7" x14ac:dyDescent="0.35">
      <c r="F723" s="5"/>
      <c r="G723" s="7"/>
    </row>
    <row r="724" spans="6:7" x14ac:dyDescent="0.35">
      <c r="F724" s="5"/>
      <c r="G724" s="7"/>
    </row>
    <row r="725" spans="6:7" x14ac:dyDescent="0.35">
      <c r="F725" s="5"/>
      <c r="G725" s="7"/>
    </row>
    <row r="726" spans="6:7" x14ac:dyDescent="0.35">
      <c r="F726" s="5"/>
      <c r="G726" s="7"/>
    </row>
    <row r="727" spans="6:7" x14ac:dyDescent="0.35">
      <c r="F727" s="5"/>
      <c r="G727" s="7"/>
    </row>
    <row r="728" spans="6:7" x14ac:dyDescent="0.35">
      <c r="F728" s="5"/>
      <c r="G728" s="7"/>
    </row>
    <row r="729" spans="6:7" x14ac:dyDescent="0.35">
      <c r="F729" s="5"/>
      <c r="G729" s="7"/>
    </row>
    <row r="730" spans="6:7" x14ac:dyDescent="0.35">
      <c r="F730" s="5"/>
      <c r="G730" s="7"/>
    </row>
    <row r="731" spans="6:7" x14ac:dyDescent="0.35">
      <c r="F731" s="5"/>
      <c r="G731" s="7"/>
    </row>
    <row r="732" spans="6:7" x14ac:dyDescent="0.35">
      <c r="F732" s="5"/>
      <c r="G732" s="7"/>
    </row>
    <row r="733" spans="6:7" x14ac:dyDescent="0.35">
      <c r="F733" s="5"/>
      <c r="G733" s="7"/>
    </row>
    <row r="734" spans="6:7" x14ac:dyDescent="0.35">
      <c r="F734" s="5"/>
      <c r="G734" s="7"/>
    </row>
    <row r="735" spans="6:7" x14ac:dyDescent="0.35">
      <c r="F735" s="5"/>
      <c r="G735" s="7"/>
    </row>
    <row r="736" spans="6:7" x14ac:dyDescent="0.35">
      <c r="F736" s="5"/>
      <c r="G736" s="7"/>
    </row>
    <row r="737" spans="6:7" x14ac:dyDescent="0.35">
      <c r="F737" s="5"/>
      <c r="G737" s="7"/>
    </row>
    <row r="738" spans="6:7" x14ac:dyDescent="0.35">
      <c r="F738" s="5"/>
      <c r="G738" s="7"/>
    </row>
    <row r="739" spans="6:7" x14ac:dyDescent="0.35">
      <c r="F739" s="5"/>
      <c r="G739" s="7"/>
    </row>
    <row r="740" spans="6:7" x14ac:dyDescent="0.35">
      <c r="F740" s="5"/>
      <c r="G740" s="7"/>
    </row>
    <row r="741" spans="6:7" x14ac:dyDescent="0.35">
      <c r="F741" s="5"/>
      <c r="G741" s="7"/>
    </row>
    <row r="742" spans="6:7" x14ac:dyDescent="0.35">
      <c r="F742" s="5"/>
      <c r="G742" s="7"/>
    </row>
    <row r="743" spans="6:7" x14ac:dyDescent="0.35">
      <c r="F743" s="5"/>
      <c r="G743" s="7"/>
    </row>
    <row r="744" spans="6:7" x14ac:dyDescent="0.35">
      <c r="F744" s="5"/>
      <c r="G744" s="7"/>
    </row>
    <row r="745" spans="6:7" x14ac:dyDescent="0.35">
      <c r="F745" s="5"/>
      <c r="G745" s="7"/>
    </row>
    <row r="746" spans="6:7" x14ac:dyDescent="0.35">
      <c r="F746" s="5"/>
      <c r="G746" s="7"/>
    </row>
    <row r="747" spans="6:7" x14ac:dyDescent="0.35">
      <c r="F747" s="5"/>
      <c r="G747" s="7"/>
    </row>
    <row r="748" spans="6:7" x14ac:dyDescent="0.35">
      <c r="F748" s="5"/>
      <c r="G748" s="7"/>
    </row>
    <row r="749" spans="6:7" x14ac:dyDescent="0.35">
      <c r="F749" s="5"/>
      <c r="G749" s="7"/>
    </row>
    <row r="750" spans="6:7" x14ac:dyDescent="0.35">
      <c r="F750" s="5"/>
      <c r="G750" s="7"/>
    </row>
    <row r="751" spans="6:7" x14ac:dyDescent="0.35">
      <c r="F751" s="5"/>
      <c r="G751" s="7"/>
    </row>
    <row r="752" spans="6:7" x14ac:dyDescent="0.35">
      <c r="F752" s="5"/>
      <c r="G752" s="7"/>
    </row>
    <row r="753" spans="6:7" x14ac:dyDescent="0.35">
      <c r="F753" s="5"/>
      <c r="G753" s="7"/>
    </row>
    <row r="754" spans="6:7" x14ac:dyDescent="0.35">
      <c r="F754" s="5"/>
      <c r="G754" s="7"/>
    </row>
    <row r="755" spans="6:7" x14ac:dyDescent="0.35">
      <c r="F755" s="5"/>
      <c r="G755" s="7"/>
    </row>
    <row r="756" spans="6:7" x14ac:dyDescent="0.35">
      <c r="F756" s="5"/>
      <c r="G756" s="7"/>
    </row>
    <row r="757" spans="6:7" x14ac:dyDescent="0.35">
      <c r="F757" s="5"/>
      <c r="G757" s="7"/>
    </row>
    <row r="758" spans="6:7" x14ac:dyDescent="0.35">
      <c r="F758" s="5"/>
      <c r="G758" s="7"/>
    </row>
    <row r="759" spans="6:7" x14ac:dyDescent="0.35">
      <c r="F759" s="5"/>
      <c r="G759" s="7"/>
    </row>
    <row r="760" spans="6:7" x14ac:dyDescent="0.35">
      <c r="F760" s="5"/>
      <c r="G760" s="7"/>
    </row>
    <row r="761" spans="6:7" x14ac:dyDescent="0.35">
      <c r="F761" s="5"/>
      <c r="G761" s="7"/>
    </row>
    <row r="762" spans="6:7" x14ac:dyDescent="0.35">
      <c r="F762" s="5"/>
      <c r="G762" s="7"/>
    </row>
    <row r="763" spans="6:7" x14ac:dyDescent="0.35">
      <c r="F763" s="5"/>
      <c r="G763" s="7"/>
    </row>
    <row r="764" spans="6:7" x14ac:dyDescent="0.35">
      <c r="F764" s="5"/>
      <c r="G764" s="7"/>
    </row>
    <row r="765" spans="6:7" x14ac:dyDescent="0.35">
      <c r="F765" s="5"/>
      <c r="G765" s="7"/>
    </row>
    <row r="766" spans="6:7" x14ac:dyDescent="0.35">
      <c r="F766" s="5"/>
      <c r="G766" s="7"/>
    </row>
    <row r="767" spans="6:7" x14ac:dyDescent="0.35">
      <c r="F767" s="5"/>
      <c r="G767" s="7"/>
    </row>
    <row r="768" spans="6:7" x14ac:dyDescent="0.35">
      <c r="F768" s="5"/>
      <c r="G768" s="7"/>
    </row>
    <row r="769" spans="6:7" x14ac:dyDescent="0.35">
      <c r="F769" s="5"/>
      <c r="G769" s="7"/>
    </row>
    <row r="770" spans="6:7" x14ac:dyDescent="0.35">
      <c r="F770" s="5"/>
      <c r="G770" s="7"/>
    </row>
    <row r="771" spans="6:7" x14ac:dyDescent="0.35">
      <c r="F771" s="5"/>
      <c r="G771" s="7"/>
    </row>
    <row r="772" spans="6:7" x14ac:dyDescent="0.35">
      <c r="F772" s="5"/>
      <c r="G772" s="7"/>
    </row>
    <row r="773" spans="6:7" x14ac:dyDescent="0.35">
      <c r="F773" s="5"/>
      <c r="G773" s="7"/>
    </row>
    <row r="774" spans="6:7" x14ac:dyDescent="0.35">
      <c r="F774" s="5"/>
      <c r="G774" s="7"/>
    </row>
    <row r="775" spans="6:7" x14ac:dyDescent="0.35">
      <c r="F775" s="5"/>
      <c r="G775" s="7"/>
    </row>
    <row r="776" spans="6:7" x14ac:dyDescent="0.35">
      <c r="F776" s="5"/>
      <c r="G776" s="7"/>
    </row>
    <row r="777" spans="6:7" x14ac:dyDescent="0.35">
      <c r="F777" s="5"/>
      <c r="G777" s="7"/>
    </row>
    <row r="778" spans="6:7" x14ac:dyDescent="0.35">
      <c r="F778" s="5"/>
      <c r="G778" s="7"/>
    </row>
    <row r="779" spans="6:7" x14ac:dyDescent="0.35">
      <c r="F779" s="5"/>
      <c r="G779" s="7"/>
    </row>
    <row r="780" spans="6:7" x14ac:dyDescent="0.35">
      <c r="F780" s="5"/>
      <c r="G780" s="7"/>
    </row>
    <row r="781" spans="6:7" x14ac:dyDescent="0.35">
      <c r="F781" s="5"/>
      <c r="G781" s="7"/>
    </row>
    <row r="782" spans="6:7" x14ac:dyDescent="0.35">
      <c r="F782" s="5"/>
      <c r="G782" s="7"/>
    </row>
    <row r="783" spans="6:7" x14ac:dyDescent="0.35">
      <c r="F783" s="5"/>
      <c r="G783" s="7"/>
    </row>
    <row r="784" spans="6:7" x14ac:dyDescent="0.35">
      <c r="F784" s="5"/>
      <c r="G784" s="7"/>
    </row>
    <row r="785" spans="6:7" x14ac:dyDescent="0.35">
      <c r="F785" s="5"/>
      <c r="G785" s="7"/>
    </row>
    <row r="786" spans="6:7" x14ac:dyDescent="0.35">
      <c r="F786" s="5"/>
      <c r="G786" s="7"/>
    </row>
    <row r="787" spans="6:7" x14ac:dyDescent="0.35">
      <c r="F787" s="5"/>
      <c r="G787" s="7"/>
    </row>
    <row r="788" spans="6:7" x14ac:dyDescent="0.35">
      <c r="F788" s="5"/>
      <c r="G788" s="7"/>
    </row>
    <row r="789" spans="6:7" x14ac:dyDescent="0.35">
      <c r="F789" s="5"/>
      <c r="G789" s="7"/>
    </row>
    <row r="790" spans="6:7" x14ac:dyDescent="0.35">
      <c r="F790" s="5"/>
      <c r="G790" s="7"/>
    </row>
    <row r="791" spans="6:7" x14ac:dyDescent="0.35">
      <c r="F791" s="5"/>
      <c r="G791" s="7"/>
    </row>
    <row r="792" spans="6:7" x14ac:dyDescent="0.35">
      <c r="F792" s="5"/>
      <c r="G792" s="7"/>
    </row>
    <row r="793" spans="6:7" x14ac:dyDescent="0.35">
      <c r="F793" s="5"/>
      <c r="G793" s="7"/>
    </row>
    <row r="794" spans="6:7" x14ac:dyDescent="0.35">
      <c r="F794" s="5"/>
      <c r="G794" s="7"/>
    </row>
    <row r="795" spans="6:7" x14ac:dyDescent="0.35">
      <c r="F795" s="5"/>
      <c r="G795" s="7"/>
    </row>
    <row r="796" spans="6:7" x14ac:dyDescent="0.35">
      <c r="F796" s="5"/>
      <c r="G796" s="7"/>
    </row>
    <row r="797" spans="6:7" x14ac:dyDescent="0.35">
      <c r="F797" s="5"/>
      <c r="G797" s="7"/>
    </row>
    <row r="798" spans="6:7" x14ac:dyDescent="0.35">
      <c r="F798" s="5"/>
      <c r="G798" s="7"/>
    </row>
    <row r="799" spans="6:7" x14ac:dyDescent="0.35">
      <c r="F799" s="5"/>
      <c r="G799" s="7"/>
    </row>
    <row r="800" spans="6:7" x14ac:dyDescent="0.35">
      <c r="F800" s="5"/>
      <c r="G800" s="7"/>
    </row>
    <row r="801" spans="6:7" x14ac:dyDescent="0.35">
      <c r="F801" s="5"/>
      <c r="G801" s="7"/>
    </row>
    <row r="802" spans="6:7" x14ac:dyDescent="0.35">
      <c r="F802" s="5"/>
      <c r="G802" s="7"/>
    </row>
    <row r="803" spans="6:7" x14ac:dyDescent="0.35">
      <c r="F803" s="5"/>
      <c r="G803" s="7"/>
    </row>
    <row r="804" spans="6:7" x14ac:dyDescent="0.35">
      <c r="F804" s="5"/>
      <c r="G804" s="7"/>
    </row>
    <row r="805" spans="6:7" x14ac:dyDescent="0.35">
      <c r="F805" s="5"/>
      <c r="G805" s="7"/>
    </row>
    <row r="806" spans="6:7" x14ac:dyDescent="0.35">
      <c r="F806" s="5"/>
      <c r="G806" s="7"/>
    </row>
    <row r="807" spans="6:7" x14ac:dyDescent="0.35">
      <c r="F807" s="5"/>
      <c r="G807" s="7"/>
    </row>
    <row r="808" spans="6:7" x14ac:dyDescent="0.35">
      <c r="F808" s="5"/>
      <c r="G808" s="7"/>
    </row>
    <row r="809" spans="6:7" x14ac:dyDescent="0.35">
      <c r="F809" s="5"/>
      <c r="G809" s="7"/>
    </row>
    <row r="810" spans="6:7" x14ac:dyDescent="0.35">
      <c r="F810" s="5"/>
      <c r="G810" s="7"/>
    </row>
    <row r="811" spans="6:7" x14ac:dyDescent="0.35">
      <c r="F811" s="5"/>
      <c r="G811" s="7"/>
    </row>
    <row r="812" spans="6:7" x14ac:dyDescent="0.35">
      <c r="F812" s="5"/>
      <c r="G812" s="7"/>
    </row>
    <row r="813" spans="6:7" x14ac:dyDescent="0.35">
      <c r="F813" s="5"/>
      <c r="G813" s="7"/>
    </row>
    <row r="814" spans="6:7" x14ac:dyDescent="0.35">
      <c r="F814" s="5"/>
      <c r="G814" s="7"/>
    </row>
    <row r="815" spans="6:7" x14ac:dyDescent="0.35">
      <c r="F815" s="5"/>
      <c r="G815" s="7"/>
    </row>
    <row r="816" spans="6:7" x14ac:dyDescent="0.35">
      <c r="F816" s="5"/>
      <c r="G816" s="7"/>
    </row>
    <row r="817" spans="6:7" x14ac:dyDescent="0.35">
      <c r="F817" s="5"/>
      <c r="G817" s="7"/>
    </row>
    <row r="818" spans="6:7" x14ac:dyDescent="0.35">
      <c r="F818" s="5"/>
      <c r="G818" s="7"/>
    </row>
    <row r="819" spans="6:7" x14ac:dyDescent="0.35">
      <c r="F819" s="5"/>
      <c r="G819" s="7"/>
    </row>
    <row r="820" spans="6:7" x14ac:dyDescent="0.35">
      <c r="F820" s="5"/>
      <c r="G820" s="7"/>
    </row>
    <row r="821" spans="6:7" x14ac:dyDescent="0.35">
      <c r="F821" s="5"/>
      <c r="G821" s="7"/>
    </row>
    <row r="822" spans="6:7" x14ac:dyDescent="0.35">
      <c r="F822" s="5"/>
      <c r="G822" s="7"/>
    </row>
    <row r="823" spans="6:7" x14ac:dyDescent="0.35">
      <c r="F823" s="5"/>
      <c r="G823" s="7"/>
    </row>
    <row r="824" spans="6:7" x14ac:dyDescent="0.35">
      <c r="F824" s="5"/>
      <c r="G824" s="7"/>
    </row>
    <row r="825" spans="6:7" x14ac:dyDescent="0.35">
      <c r="F825" s="5"/>
      <c r="G825" s="7"/>
    </row>
    <row r="826" spans="6:7" x14ac:dyDescent="0.35">
      <c r="F826" s="5"/>
      <c r="G826" s="7"/>
    </row>
    <row r="827" spans="6:7" x14ac:dyDescent="0.35">
      <c r="F827" s="5"/>
      <c r="G827" s="7"/>
    </row>
    <row r="828" spans="6:7" x14ac:dyDescent="0.35">
      <c r="F828" s="5"/>
      <c r="G828" s="7"/>
    </row>
    <row r="829" spans="6:7" x14ac:dyDescent="0.35">
      <c r="F829" s="5"/>
      <c r="G829" s="7"/>
    </row>
    <row r="830" spans="6:7" x14ac:dyDescent="0.35">
      <c r="F830" s="5"/>
      <c r="G830" s="7"/>
    </row>
    <row r="831" spans="6:7" x14ac:dyDescent="0.35">
      <c r="F831" s="5"/>
      <c r="G831" s="7"/>
    </row>
    <row r="832" spans="6:7" x14ac:dyDescent="0.35">
      <c r="F832" s="5"/>
      <c r="G832" s="7"/>
    </row>
    <row r="833" spans="6:7" x14ac:dyDescent="0.35">
      <c r="F833" s="5"/>
      <c r="G833" s="7"/>
    </row>
    <row r="834" spans="6:7" x14ac:dyDescent="0.35">
      <c r="F834" s="5"/>
      <c r="G834" s="7"/>
    </row>
    <row r="835" spans="6:7" x14ac:dyDescent="0.35">
      <c r="F835" s="5"/>
      <c r="G835" s="7"/>
    </row>
    <row r="836" spans="6:7" x14ac:dyDescent="0.35">
      <c r="F836" s="5"/>
      <c r="G836" s="7"/>
    </row>
    <row r="837" spans="6:7" x14ac:dyDescent="0.35">
      <c r="F837" s="5"/>
      <c r="G837" s="7"/>
    </row>
    <row r="838" spans="6:7" x14ac:dyDescent="0.35">
      <c r="F838" s="5"/>
      <c r="G838" s="7"/>
    </row>
    <row r="839" spans="6:7" x14ac:dyDescent="0.35">
      <c r="F839" s="5"/>
      <c r="G839" s="7"/>
    </row>
    <row r="840" spans="6:7" x14ac:dyDescent="0.35">
      <c r="F840" s="5"/>
      <c r="G840" s="7"/>
    </row>
    <row r="841" spans="6:7" x14ac:dyDescent="0.35">
      <c r="F841" s="5"/>
      <c r="G841" s="7"/>
    </row>
    <row r="842" spans="6:7" x14ac:dyDescent="0.35">
      <c r="F842" s="5"/>
      <c r="G842" s="7"/>
    </row>
    <row r="843" spans="6:7" x14ac:dyDescent="0.35">
      <c r="F843" s="5"/>
      <c r="G843" s="7"/>
    </row>
    <row r="844" spans="6:7" x14ac:dyDescent="0.35">
      <c r="F844" s="5"/>
      <c r="G844" s="7"/>
    </row>
    <row r="845" spans="6:7" x14ac:dyDescent="0.35">
      <c r="F845" s="5"/>
      <c r="G845" s="7"/>
    </row>
    <row r="846" spans="6:7" x14ac:dyDescent="0.35">
      <c r="F846" s="5"/>
      <c r="G846" s="7"/>
    </row>
    <row r="847" spans="6:7" x14ac:dyDescent="0.35">
      <c r="F847" s="5"/>
      <c r="G847" s="7"/>
    </row>
    <row r="848" spans="6:7" x14ac:dyDescent="0.35">
      <c r="F848" s="5"/>
      <c r="G848" s="7"/>
    </row>
    <row r="849" spans="6:7" x14ac:dyDescent="0.35">
      <c r="F849" s="5"/>
      <c r="G849" s="7"/>
    </row>
    <row r="850" spans="6:7" x14ac:dyDescent="0.35">
      <c r="F850" s="5"/>
      <c r="G850" s="7"/>
    </row>
    <row r="851" spans="6:7" x14ac:dyDescent="0.35">
      <c r="F851" s="5"/>
      <c r="G851" s="7"/>
    </row>
    <row r="852" spans="6:7" x14ac:dyDescent="0.35">
      <c r="F852" s="5"/>
      <c r="G852" s="7"/>
    </row>
    <row r="853" spans="6:7" x14ac:dyDescent="0.35">
      <c r="F853" s="5"/>
      <c r="G853" s="7"/>
    </row>
    <row r="854" spans="6:7" x14ac:dyDescent="0.35">
      <c r="F854" s="5"/>
      <c r="G854" s="7"/>
    </row>
    <row r="855" spans="6:7" x14ac:dyDescent="0.35">
      <c r="F855" s="5"/>
      <c r="G855" s="7"/>
    </row>
    <row r="856" spans="6:7" x14ac:dyDescent="0.35">
      <c r="F856" s="5"/>
      <c r="G856" s="7"/>
    </row>
    <row r="857" spans="6:7" x14ac:dyDescent="0.35">
      <c r="F857" s="5"/>
      <c r="G857" s="7"/>
    </row>
    <row r="858" spans="6:7" x14ac:dyDescent="0.35">
      <c r="F858" s="5"/>
      <c r="G858" s="7"/>
    </row>
    <row r="859" spans="6:7" x14ac:dyDescent="0.35">
      <c r="F859" s="5"/>
      <c r="G859" s="7"/>
    </row>
    <row r="860" spans="6:7" x14ac:dyDescent="0.35">
      <c r="F860" s="5"/>
      <c r="G860" s="7"/>
    </row>
    <row r="861" spans="6:7" x14ac:dyDescent="0.35">
      <c r="F861" s="5"/>
      <c r="G861" s="7"/>
    </row>
    <row r="862" spans="6:7" x14ac:dyDescent="0.35">
      <c r="F862" s="5"/>
      <c r="G862" s="7"/>
    </row>
    <row r="863" spans="6:7" x14ac:dyDescent="0.35">
      <c r="F863" s="5"/>
      <c r="G863" s="7"/>
    </row>
    <row r="864" spans="6:7" x14ac:dyDescent="0.35">
      <c r="F864" s="5"/>
      <c r="G864" s="7"/>
    </row>
    <row r="865" spans="6:7" x14ac:dyDescent="0.35">
      <c r="F865" s="5"/>
      <c r="G865" s="7"/>
    </row>
    <row r="866" spans="6:7" x14ac:dyDescent="0.35">
      <c r="F866" s="5"/>
      <c r="G866" s="7"/>
    </row>
    <row r="867" spans="6:7" x14ac:dyDescent="0.35">
      <c r="F867" s="5"/>
      <c r="G867" s="7"/>
    </row>
    <row r="868" spans="6:7" x14ac:dyDescent="0.35">
      <c r="F868" s="5"/>
      <c r="G868" s="7"/>
    </row>
    <row r="869" spans="6:7" x14ac:dyDescent="0.35">
      <c r="F869" s="5"/>
      <c r="G869" s="7"/>
    </row>
    <row r="870" spans="6:7" x14ac:dyDescent="0.35">
      <c r="F870" s="5"/>
      <c r="G870" s="7"/>
    </row>
    <row r="871" spans="6:7" x14ac:dyDescent="0.35">
      <c r="F871" s="5"/>
      <c r="G871" s="7"/>
    </row>
    <row r="872" spans="6:7" x14ac:dyDescent="0.35">
      <c r="F872" s="5"/>
      <c r="G872" s="7"/>
    </row>
    <row r="873" spans="6:7" x14ac:dyDescent="0.35">
      <c r="F873" s="5"/>
      <c r="G873" s="7"/>
    </row>
    <row r="874" spans="6:7" x14ac:dyDescent="0.35">
      <c r="F874" s="5"/>
      <c r="G874" s="7"/>
    </row>
    <row r="875" spans="6:7" x14ac:dyDescent="0.35">
      <c r="F875" s="5"/>
      <c r="G875" s="7"/>
    </row>
    <row r="876" spans="6:7" x14ac:dyDescent="0.35">
      <c r="F876" s="5"/>
      <c r="G876" s="7"/>
    </row>
    <row r="877" spans="6:7" x14ac:dyDescent="0.35">
      <c r="F877" s="5"/>
      <c r="G877" s="7"/>
    </row>
    <row r="878" spans="6:7" x14ac:dyDescent="0.35">
      <c r="F878" s="5"/>
      <c r="G878" s="7"/>
    </row>
    <row r="879" spans="6:7" x14ac:dyDescent="0.35">
      <c r="F879" s="5"/>
      <c r="G879" s="7"/>
    </row>
    <row r="880" spans="6:7" x14ac:dyDescent="0.35">
      <c r="F880" s="5"/>
      <c r="G880" s="7"/>
    </row>
    <row r="881" spans="6:7" x14ac:dyDescent="0.35">
      <c r="F881" s="5"/>
      <c r="G881" s="7"/>
    </row>
    <row r="882" spans="6:7" x14ac:dyDescent="0.35">
      <c r="F882" s="5"/>
      <c r="G882" s="7"/>
    </row>
    <row r="883" spans="6:7" x14ac:dyDescent="0.35">
      <c r="F883" s="5"/>
      <c r="G883" s="7"/>
    </row>
    <row r="884" spans="6:7" x14ac:dyDescent="0.35">
      <c r="F884" s="5"/>
      <c r="G884" s="7"/>
    </row>
    <row r="885" spans="6:7" x14ac:dyDescent="0.35">
      <c r="F885" s="5"/>
      <c r="G885" s="7"/>
    </row>
    <row r="886" spans="6:7" x14ac:dyDescent="0.35">
      <c r="F886" s="5"/>
      <c r="G886" s="7"/>
    </row>
    <row r="887" spans="6:7" x14ac:dyDescent="0.35">
      <c r="F887" s="5"/>
      <c r="G887" s="7"/>
    </row>
    <row r="888" spans="6:7" x14ac:dyDescent="0.35">
      <c r="F888" s="5"/>
      <c r="G888" s="7"/>
    </row>
    <row r="889" spans="6:7" x14ac:dyDescent="0.35">
      <c r="F889" s="5"/>
      <c r="G889" s="7"/>
    </row>
    <row r="890" spans="6:7" x14ac:dyDescent="0.35">
      <c r="F890" s="5"/>
      <c r="G890" s="7"/>
    </row>
    <row r="891" spans="6:7" x14ac:dyDescent="0.35">
      <c r="F891" s="5"/>
      <c r="G891" s="7"/>
    </row>
    <row r="892" spans="6:7" x14ac:dyDescent="0.35">
      <c r="F892" s="5"/>
      <c r="G892" s="7"/>
    </row>
    <row r="893" spans="6:7" x14ac:dyDescent="0.35">
      <c r="F893" s="5"/>
      <c r="G893" s="7"/>
    </row>
    <row r="894" spans="6:7" x14ac:dyDescent="0.35">
      <c r="F894" s="5"/>
      <c r="G894" s="7"/>
    </row>
    <row r="895" spans="6:7" x14ac:dyDescent="0.35">
      <c r="F895" s="5"/>
      <c r="G895" s="7"/>
    </row>
    <row r="896" spans="6:7" x14ac:dyDescent="0.35">
      <c r="F896" s="5"/>
      <c r="G896" s="7"/>
    </row>
    <row r="897" spans="6:7" x14ac:dyDescent="0.35">
      <c r="F897" s="5"/>
      <c r="G897" s="7"/>
    </row>
    <row r="898" spans="6:7" x14ac:dyDescent="0.35">
      <c r="F898" s="5"/>
      <c r="G898" s="7"/>
    </row>
    <row r="899" spans="6:7" x14ac:dyDescent="0.35">
      <c r="F899" s="5"/>
      <c r="G899" s="7"/>
    </row>
    <row r="900" spans="6:7" x14ac:dyDescent="0.35">
      <c r="F900" s="5"/>
      <c r="G900" s="7"/>
    </row>
    <row r="901" spans="6:7" x14ac:dyDescent="0.35">
      <c r="F901" s="5"/>
      <c r="G901" s="7"/>
    </row>
    <row r="902" spans="6:7" x14ac:dyDescent="0.35">
      <c r="F902" s="5"/>
      <c r="G902" s="7"/>
    </row>
    <row r="903" spans="6:7" x14ac:dyDescent="0.35">
      <c r="F903" s="5"/>
      <c r="G903" s="7"/>
    </row>
    <row r="904" spans="6:7" x14ac:dyDescent="0.35">
      <c r="F904" s="5"/>
      <c r="G904" s="7"/>
    </row>
    <row r="905" spans="6:7" x14ac:dyDescent="0.35">
      <c r="F905" s="5"/>
      <c r="G905" s="7"/>
    </row>
    <row r="906" spans="6:7" x14ac:dyDescent="0.35">
      <c r="F906" s="5"/>
      <c r="G906" s="7"/>
    </row>
    <row r="907" spans="6:7" x14ac:dyDescent="0.35">
      <c r="F907" s="5"/>
      <c r="G907" s="7"/>
    </row>
    <row r="908" spans="6:7" x14ac:dyDescent="0.35">
      <c r="F908" s="5"/>
      <c r="G908" s="7"/>
    </row>
    <row r="909" spans="6:7" x14ac:dyDescent="0.35">
      <c r="F909" s="5"/>
      <c r="G909" s="7"/>
    </row>
    <row r="910" spans="6:7" x14ac:dyDescent="0.35">
      <c r="F910" s="5"/>
      <c r="G910" s="7"/>
    </row>
    <row r="911" spans="6:7" x14ac:dyDescent="0.35">
      <c r="F911" s="5"/>
      <c r="G911" s="7"/>
    </row>
    <row r="912" spans="6:7" x14ac:dyDescent="0.35">
      <c r="F912" s="5"/>
      <c r="G912" s="7"/>
    </row>
    <row r="913" spans="6:7" x14ac:dyDescent="0.35">
      <c r="F913" s="5"/>
      <c r="G913" s="7"/>
    </row>
    <row r="914" spans="6:7" x14ac:dyDescent="0.35">
      <c r="F914" s="5"/>
      <c r="G914" s="7"/>
    </row>
    <row r="915" spans="6:7" x14ac:dyDescent="0.35">
      <c r="F915" s="5"/>
      <c r="G915" s="7"/>
    </row>
    <row r="916" spans="6:7" x14ac:dyDescent="0.35">
      <c r="F916" s="5"/>
      <c r="G916" s="7"/>
    </row>
    <row r="917" spans="6:7" x14ac:dyDescent="0.35">
      <c r="F917" s="5"/>
      <c r="G917" s="7"/>
    </row>
    <row r="918" spans="6:7" x14ac:dyDescent="0.35">
      <c r="F918" s="5"/>
      <c r="G918" s="7"/>
    </row>
    <row r="919" spans="6:7" x14ac:dyDescent="0.35">
      <c r="F919" s="5"/>
      <c r="G919" s="7"/>
    </row>
    <row r="920" spans="6:7" x14ac:dyDescent="0.35">
      <c r="F920" s="5"/>
      <c r="G920" s="7"/>
    </row>
    <row r="921" spans="6:7" x14ac:dyDescent="0.35">
      <c r="F921" s="5"/>
      <c r="G921" s="7"/>
    </row>
    <row r="922" spans="6:7" x14ac:dyDescent="0.35">
      <c r="F922" s="5"/>
      <c r="G922" s="7"/>
    </row>
    <row r="923" spans="6:7" x14ac:dyDescent="0.35">
      <c r="F923" s="5"/>
      <c r="G923" s="7"/>
    </row>
    <row r="924" spans="6:7" x14ac:dyDescent="0.35">
      <c r="F924" s="5"/>
      <c r="G924" s="7"/>
    </row>
    <row r="925" spans="6:7" x14ac:dyDescent="0.35">
      <c r="F925" s="5"/>
      <c r="G925" s="7"/>
    </row>
    <row r="926" spans="6:7" x14ac:dyDescent="0.35">
      <c r="F926" s="5"/>
      <c r="G926" s="7"/>
    </row>
    <row r="927" spans="6:7" x14ac:dyDescent="0.35">
      <c r="F927" s="5"/>
      <c r="G927" s="7"/>
    </row>
    <row r="928" spans="6:7" x14ac:dyDescent="0.35">
      <c r="F928" s="5"/>
      <c r="G928" s="7"/>
    </row>
    <row r="929" spans="6:7" x14ac:dyDescent="0.35">
      <c r="F929" s="5"/>
      <c r="G929" s="7"/>
    </row>
    <row r="930" spans="6:7" x14ac:dyDescent="0.35">
      <c r="F930" s="5"/>
      <c r="G930" s="7"/>
    </row>
    <row r="931" spans="6:7" x14ac:dyDescent="0.35">
      <c r="F931" s="5"/>
      <c r="G931" s="7"/>
    </row>
    <row r="932" spans="6:7" x14ac:dyDescent="0.35">
      <c r="F932" s="5"/>
      <c r="G932" s="7"/>
    </row>
    <row r="933" spans="6:7" x14ac:dyDescent="0.35">
      <c r="F933" s="5"/>
      <c r="G933" s="7"/>
    </row>
    <row r="934" spans="6:7" x14ac:dyDescent="0.35">
      <c r="F934" s="5"/>
      <c r="G934" s="7"/>
    </row>
    <row r="935" spans="6:7" x14ac:dyDescent="0.35">
      <c r="F935" s="5"/>
      <c r="G935" s="7"/>
    </row>
    <row r="936" spans="6:7" x14ac:dyDescent="0.35">
      <c r="F936" s="5"/>
      <c r="G936" s="7"/>
    </row>
    <row r="937" spans="6:7" x14ac:dyDescent="0.35">
      <c r="F937" s="5"/>
      <c r="G937" s="7"/>
    </row>
    <row r="938" spans="6:7" x14ac:dyDescent="0.35">
      <c r="F938" s="5"/>
      <c r="G938" s="7"/>
    </row>
    <row r="939" spans="6:7" x14ac:dyDescent="0.35">
      <c r="F939" s="5"/>
      <c r="G939" s="7"/>
    </row>
    <row r="940" spans="6:7" x14ac:dyDescent="0.35">
      <c r="F940" s="5"/>
      <c r="G940" s="7"/>
    </row>
    <row r="941" spans="6:7" x14ac:dyDescent="0.35">
      <c r="F941" s="5"/>
      <c r="G941" s="7"/>
    </row>
    <row r="942" spans="6:7" x14ac:dyDescent="0.35">
      <c r="F942" s="5"/>
      <c r="G942" s="7"/>
    </row>
    <row r="943" spans="6:7" x14ac:dyDescent="0.35">
      <c r="F943" s="5"/>
      <c r="G943" s="7"/>
    </row>
    <row r="944" spans="6:7" x14ac:dyDescent="0.35">
      <c r="F944" s="5"/>
      <c r="G944" s="7"/>
    </row>
    <row r="945" spans="6:7" x14ac:dyDescent="0.35">
      <c r="F945" s="5"/>
      <c r="G945" s="7"/>
    </row>
    <row r="946" spans="6:7" x14ac:dyDescent="0.35">
      <c r="F946" s="5"/>
      <c r="G946" s="7"/>
    </row>
    <row r="947" spans="6:7" x14ac:dyDescent="0.35">
      <c r="F947" s="5"/>
      <c r="G947" s="7"/>
    </row>
    <row r="948" spans="6:7" x14ac:dyDescent="0.35">
      <c r="F948" s="5"/>
      <c r="G948" s="7"/>
    </row>
    <row r="949" spans="6:7" x14ac:dyDescent="0.35">
      <c r="F949" s="5"/>
      <c r="G949" s="7"/>
    </row>
    <row r="950" spans="6:7" x14ac:dyDescent="0.35">
      <c r="F950" s="5"/>
      <c r="G950" s="7"/>
    </row>
    <row r="951" spans="6:7" x14ac:dyDescent="0.35">
      <c r="F951" s="5"/>
      <c r="G951" s="7"/>
    </row>
    <row r="952" spans="6:7" x14ac:dyDescent="0.35">
      <c r="F952" s="5"/>
      <c r="G952" s="7"/>
    </row>
    <row r="953" spans="6:7" x14ac:dyDescent="0.35">
      <c r="F953" s="5"/>
      <c r="G953" s="7"/>
    </row>
    <row r="954" spans="6:7" x14ac:dyDescent="0.35">
      <c r="F954" s="5"/>
      <c r="G954" s="7"/>
    </row>
    <row r="955" spans="6:7" x14ac:dyDescent="0.35">
      <c r="F955" s="5"/>
      <c r="G955" s="7"/>
    </row>
    <row r="956" spans="6:7" x14ac:dyDescent="0.35">
      <c r="F956" s="5"/>
      <c r="G956" s="7"/>
    </row>
    <row r="957" spans="6:7" x14ac:dyDescent="0.35">
      <c r="F957" s="5"/>
      <c r="G957" s="7"/>
    </row>
    <row r="958" spans="6:7" x14ac:dyDescent="0.35">
      <c r="F958" s="5"/>
      <c r="G958" s="7"/>
    </row>
    <row r="959" spans="6:7" x14ac:dyDescent="0.35">
      <c r="F959" s="5"/>
      <c r="G959" s="7"/>
    </row>
    <row r="960" spans="6:7" x14ac:dyDescent="0.35">
      <c r="F960" s="5"/>
      <c r="G960" s="7"/>
    </row>
    <row r="961" spans="6:7" x14ac:dyDescent="0.35">
      <c r="F961" s="5"/>
      <c r="G961" s="7"/>
    </row>
    <row r="962" spans="6:7" x14ac:dyDescent="0.35">
      <c r="F962" s="5"/>
      <c r="G962" s="7"/>
    </row>
    <row r="963" spans="6:7" x14ac:dyDescent="0.35">
      <c r="F963" s="5"/>
      <c r="G963" s="7"/>
    </row>
    <row r="964" spans="6:7" x14ac:dyDescent="0.35">
      <c r="F964" s="5"/>
      <c r="G964" s="7"/>
    </row>
    <row r="965" spans="6:7" x14ac:dyDescent="0.35">
      <c r="F965" s="5"/>
      <c r="G965" s="7"/>
    </row>
    <row r="966" spans="6:7" x14ac:dyDescent="0.35">
      <c r="F966" s="5"/>
      <c r="G966" s="7"/>
    </row>
    <row r="967" spans="6:7" x14ac:dyDescent="0.35">
      <c r="F967" s="5"/>
      <c r="G967" s="7"/>
    </row>
    <row r="968" spans="6:7" x14ac:dyDescent="0.35">
      <c r="F968" s="5"/>
      <c r="G968" s="7"/>
    </row>
    <row r="969" spans="6:7" x14ac:dyDescent="0.35">
      <c r="F969" s="5"/>
      <c r="G969" s="7"/>
    </row>
    <row r="970" spans="6:7" x14ac:dyDescent="0.35">
      <c r="F970" s="5"/>
      <c r="G970" s="7"/>
    </row>
    <row r="971" spans="6:7" x14ac:dyDescent="0.35">
      <c r="F971" s="5"/>
      <c r="G971" s="7"/>
    </row>
    <row r="972" spans="6:7" x14ac:dyDescent="0.35">
      <c r="F972" s="5"/>
      <c r="G972" s="7"/>
    </row>
    <row r="973" spans="6:7" x14ac:dyDescent="0.35">
      <c r="F973" s="5"/>
      <c r="G973" s="7"/>
    </row>
    <row r="974" spans="6:7" x14ac:dyDescent="0.35">
      <c r="F974" s="5"/>
      <c r="G974" s="7"/>
    </row>
    <row r="975" spans="6:7" x14ac:dyDescent="0.35">
      <c r="F975" s="5"/>
      <c r="G975" s="7"/>
    </row>
    <row r="976" spans="6:7" x14ac:dyDescent="0.35">
      <c r="F976" s="5"/>
      <c r="G976" s="7"/>
    </row>
    <row r="977" spans="6:7" x14ac:dyDescent="0.35">
      <c r="F977" s="5"/>
      <c r="G977" s="7"/>
    </row>
    <row r="978" spans="6:7" x14ac:dyDescent="0.35">
      <c r="F978" s="5"/>
      <c r="G978" s="7"/>
    </row>
    <row r="979" spans="6:7" x14ac:dyDescent="0.35">
      <c r="F979" s="5"/>
      <c r="G979" s="7"/>
    </row>
    <row r="980" spans="6:7" x14ac:dyDescent="0.35">
      <c r="F980" s="5"/>
      <c r="G980" s="7"/>
    </row>
    <row r="981" spans="6:7" x14ac:dyDescent="0.35">
      <c r="F981" s="5"/>
      <c r="G981" s="7"/>
    </row>
    <row r="982" spans="6:7" x14ac:dyDescent="0.35">
      <c r="F982" s="5"/>
      <c r="G982" s="7"/>
    </row>
    <row r="983" spans="6:7" x14ac:dyDescent="0.35">
      <c r="F983" s="5"/>
      <c r="G983" s="7"/>
    </row>
    <row r="984" spans="6:7" x14ac:dyDescent="0.35">
      <c r="F984" s="5"/>
      <c r="G984" s="7"/>
    </row>
    <row r="985" spans="6:7" x14ac:dyDescent="0.35">
      <c r="F985" s="5"/>
      <c r="G985" s="7"/>
    </row>
    <row r="986" spans="6:7" x14ac:dyDescent="0.35">
      <c r="F986" s="5"/>
      <c r="G986" s="7"/>
    </row>
    <row r="987" spans="6:7" x14ac:dyDescent="0.35">
      <c r="F987" s="5"/>
      <c r="G987" s="7"/>
    </row>
    <row r="988" spans="6:7" x14ac:dyDescent="0.35">
      <c r="F988" s="5"/>
      <c r="G988" s="7"/>
    </row>
    <row r="989" spans="6:7" x14ac:dyDescent="0.35">
      <c r="F989" s="5"/>
      <c r="G989" s="7"/>
    </row>
    <row r="990" spans="6:7" x14ac:dyDescent="0.35">
      <c r="F990" s="5"/>
      <c r="G990" s="7"/>
    </row>
    <row r="991" spans="6:7" x14ac:dyDescent="0.35">
      <c r="F991" s="5"/>
      <c r="G991" s="7"/>
    </row>
    <row r="992" spans="6:7" x14ac:dyDescent="0.35">
      <c r="F992" s="5"/>
      <c r="G992" s="7"/>
    </row>
    <row r="993" spans="6:7" x14ac:dyDescent="0.35">
      <c r="F993" s="5"/>
      <c r="G993" s="7"/>
    </row>
    <row r="994" spans="6:7" x14ac:dyDescent="0.35">
      <c r="F994" s="5"/>
      <c r="G994" s="7"/>
    </row>
    <row r="995" spans="6:7" x14ac:dyDescent="0.35">
      <c r="F995" s="5"/>
      <c r="G995" s="7"/>
    </row>
    <row r="996" spans="6:7" x14ac:dyDescent="0.35">
      <c r="F996" s="5"/>
      <c r="G996" s="7"/>
    </row>
    <row r="997" spans="6:7" x14ac:dyDescent="0.35">
      <c r="F997" s="5"/>
      <c r="G997" s="7"/>
    </row>
    <row r="998" spans="6:7" x14ac:dyDescent="0.35">
      <c r="F998" s="5"/>
      <c r="G998" s="7"/>
    </row>
    <row r="999" spans="6:7" x14ac:dyDescent="0.35">
      <c r="F999" s="5"/>
      <c r="G999" s="7"/>
    </row>
    <row r="1000" spans="6:7" x14ac:dyDescent="0.35">
      <c r="F1000" s="5"/>
      <c r="G1000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9FFB-EFE3-468E-B1D7-D491A832BF7E}">
  <dimension ref="A1:M1000"/>
  <sheetViews>
    <sheetView workbookViewId="0"/>
  </sheetViews>
  <sheetFormatPr defaultRowHeight="14.5" x14ac:dyDescent="0.35"/>
  <cols>
    <col min="1" max="1" width="10.26953125" bestFit="1" customWidth="1"/>
    <col min="2" max="2" width="14.26953125" customWidth="1"/>
    <col min="3" max="3" width="12.7265625" bestFit="1" customWidth="1"/>
    <col min="4" max="4" width="41.08984375" bestFit="1" customWidth="1"/>
    <col min="5" max="5" width="14.90625" customWidth="1"/>
    <col min="6" max="6" width="23.6328125" customWidth="1"/>
    <col min="7" max="7" width="16.81640625" customWidth="1"/>
    <col min="8" max="8" width="10.08984375" bestFit="1" customWidth="1"/>
    <col min="9" max="9" width="13.26953125" customWidth="1"/>
    <col min="10" max="10" width="14.7265625" customWidth="1"/>
    <col min="11" max="11" width="18.7265625" customWidth="1"/>
    <col min="12" max="12" width="27.7265625" customWidth="1"/>
    <col min="13" max="13" width="44.54296875" bestFit="1" customWidth="1"/>
  </cols>
  <sheetData>
    <row r="1" spans="1:13" x14ac:dyDescent="0.35">
      <c r="A1" s="3" t="s">
        <v>255</v>
      </c>
      <c r="B1" s="3" t="s">
        <v>33</v>
      </c>
      <c r="C1" s="3" t="s">
        <v>256</v>
      </c>
      <c r="D1" s="3" t="s">
        <v>257</v>
      </c>
      <c r="E1" s="3" t="s">
        <v>183</v>
      </c>
      <c r="F1" s="3" t="s">
        <v>258</v>
      </c>
      <c r="G1" s="3" t="s">
        <v>259</v>
      </c>
      <c r="H1" s="3" t="s">
        <v>260</v>
      </c>
      <c r="I1" s="3" t="s">
        <v>68</v>
      </c>
      <c r="J1" s="3" t="s">
        <v>261</v>
      </c>
      <c r="K1" s="3" t="s">
        <v>262</v>
      </c>
      <c r="L1" s="3" t="s">
        <v>263</v>
      </c>
      <c r="M1" s="3" t="s">
        <v>75</v>
      </c>
    </row>
    <row r="2" spans="1:13" x14ac:dyDescent="0.35">
      <c r="A2" t="s">
        <v>264</v>
      </c>
      <c r="B2" t="s">
        <v>97</v>
      </c>
      <c r="C2" t="s">
        <v>265</v>
      </c>
      <c r="D2" t="s">
        <v>114</v>
      </c>
      <c r="E2" t="s">
        <v>191</v>
      </c>
      <c r="F2" t="s">
        <v>100</v>
      </c>
      <c r="G2" s="5">
        <v>46230</v>
      </c>
      <c r="H2" s="5">
        <v>46233</v>
      </c>
      <c r="I2" t="s">
        <v>115</v>
      </c>
      <c r="J2" t="s">
        <v>266</v>
      </c>
      <c r="K2" s="5"/>
      <c r="M2" t="s">
        <v>267</v>
      </c>
    </row>
    <row r="3" spans="1:13" x14ac:dyDescent="0.35">
      <c r="A3" t="s">
        <v>268</v>
      </c>
      <c r="B3" t="s">
        <v>97</v>
      </c>
      <c r="C3" t="s">
        <v>269</v>
      </c>
      <c r="D3" t="s">
        <v>270</v>
      </c>
      <c r="E3" t="s">
        <v>191</v>
      </c>
      <c r="F3" t="s">
        <v>100</v>
      </c>
      <c r="G3" s="5">
        <v>46230</v>
      </c>
      <c r="H3" s="5">
        <v>46239</v>
      </c>
      <c r="I3" t="s">
        <v>271</v>
      </c>
      <c r="J3" t="s">
        <v>111</v>
      </c>
      <c r="K3" s="5"/>
      <c r="M3" t="s">
        <v>272</v>
      </c>
    </row>
    <row r="4" spans="1:13" x14ac:dyDescent="0.35">
      <c r="G4" s="5"/>
      <c r="H4" s="5"/>
      <c r="K4" s="5"/>
    </row>
    <row r="5" spans="1:13" x14ac:dyDescent="0.35">
      <c r="G5" s="5"/>
      <c r="H5" s="5"/>
      <c r="K5" s="5"/>
    </row>
    <row r="6" spans="1:13" x14ac:dyDescent="0.35">
      <c r="G6" s="5"/>
      <c r="H6" s="5"/>
      <c r="K6" s="5"/>
    </row>
    <row r="7" spans="1:13" x14ac:dyDescent="0.35">
      <c r="G7" s="5"/>
      <c r="H7" s="5"/>
      <c r="K7" s="5"/>
    </row>
    <row r="8" spans="1:13" x14ac:dyDescent="0.35">
      <c r="G8" s="5"/>
      <c r="H8" s="5"/>
      <c r="K8" s="5"/>
    </row>
    <row r="9" spans="1:13" x14ac:dyDescent="0.35">
      <c r="G9" s="5"/>
      <c r="H9" s="5"/>
      <c r="K9" s="5"/>
    </row>
    <row r="10" spans="1:13" x14ac:dyDescent="0.35">
      <c r="G10" s="5"/>
      <c r="H10" s="5"/>
      <c r="K10" s="5"/>
    </row>
    <row r="11" spans="1:13" x14ac:dyDescent="0.35">
      <c r="G11" s="5"/>
      <c r="H11" s="5"/>
      <c r="K11" s="5"/>
    </row>
    <row r="12" spans="1:13" x14ac:dyDescent="0.35">
      <c r="G12" s="5"/>
      <c r="H12" s="5"/>
      <c r="K12" s="5"/>
    </row>
    <row r="13" spans="1:13" x14ac:dyDescent="0.35">
      <c r="G13" s="5"/>
      <c r="H13" s="5"/>
      <c r="K13" s="5"/>
    </row>
    <row r="14" spans="1:13" x14ac:dyDescent="0.35">
      <c r="G14" s="5"/>
      <c r="H14" s="5"/>
      <c r="K14" s="5"/>
    </row>
    <row r="15" spans="1:13" x14ac:dyDescent="0.35">
      <c r="G15" s="5"/>
      <c r="H15" s="5"/>
      <c r="K15" s="5"/>
    </row>
    <row r="16" spans="1:13" x14ac:dyDescent="0.35">
      <c r="G16" s="5"/>
      <c r="H16" s="5"/>
      <c r="K16" s="5"/>
    </row>
    <row r="17" spans="7:11" x14ac:dyDescent="0.35">
      <c r="G17" s="5"/>
      <c r="H17" s="5"/>
      <c r="K17" s="5"/>
    </row>
    <row r="18" spans="7:11" x14ac:dyDescent="0.35">
      <c r="G18" s="5"/>
      <c r="H18" s="5"/>
      <c r="K18" s="5"/>
    </row>
    <row r="19" spans="7:11" x14ac:dyDescent="0.35">
      <c r="G19" s="5"/>
      <c r="H19" s="5"/>
      <c r="K19" s="5"/>
    </row>
    <row r="20" spans="7:11" x14ac:dyDescent="0.35">
      <c r="G20" s="5"/>
      <c r="H20" s="5"/>
      <c r="K20" s="5"/>
    </row>
    <row r="21" spans="7:11" x14ac:dyDescent="0.35">
      <c r="G21" s="5"/>
      <c r="H21" s="5"/>
      <c r="K21" s="5"/>
    </row>
    <row r="22" spans="7:11" x14ac:dyDescent="0.35">
      <c r="G22" s="5"/>
      <c r="H22" s="5"/>
      <c r="K22" s="5"/>
    </row>
    <row r="23" spans="7:11" x14ac:dyDescent="0.35">
      <c r="G23" s="5"/>
      <c r="H23" s="5"/>
      <c r="K23" s="5"/>
    </row>
    <row r="24" spans="7:11" x14ac:dyDescent="0.35">
      <c r="G24" s="5"/>
      <c r="H24" s="5"/>
      <c r="K24" s="5"/>
    </row>
    <row r="25" spans="7:11" x14ac:dyDescent="0.35">
      <c r="G25" s="5"/>
      <c r="H25" s="5"/>
      <c r="K25" s="5"/>
    </row>
    <row r="26" spans="7:11" x14ac:dyDescent="0.35">
      <c r="G26" s="5"/>
      <c r="H26" s="5"/>
      <c r="K26" s="5"/>
    </row>
    <row r="27" spans="7:11" x14ac:dyDescent="0.35">
      <c r="G27" s="5"/>
      <c r="H27" s="5"/>
      <c r="K27" s="5"/>
    </row>
    <row r="28" spans="7:11" x14ac:dyDescent="0.35">
      <c r="G28" s="5"/>
      <c r="H28" s="5"/>
      <c r="K28" s="5"/>
    </row>
    <row r="29" spans="7:11" x14ac:dyDescent="0.35">
      <c r="G29" s="5"/>
      <c r="H29" s="5"/>
      <c r="K29" s="5"/>
    </row>
    <row r="30" spans="7:11" x14ac:dyDescent="0.35">
      <c r="G30" s="5"/>
      <c r="H30" s="5"/>
      <c r="K30" s="5"/>
    </row>
    <row r="31" spans="7:11" x14ac:dyDescent="0.35">
      <c r="G31" s="5"/>
      <c r="H31" s="5"/>
      <c r="K31" s="5"/>
    </row>
    <row r="32" spans="7:11" x14ac:dyDescent="0.35">
      <c r="G32" s="5"/>
      <c r="H32" s="5"/>
      <c r="K32" s="5"/>
    </row>
    <row r="33" spans="7:11" x14ac:dyDescent="0.35">
      <c r="G33" s="5"/>
      <c r="H33" s="5"/>
      <c r="K33" s="5"/>
    </row>
    <row r="34" spans="7:11" x14ac:dyDescent="0.35">
      <c r="G34" s="5"/>
      <c r="H34" s="5"/>
      <c r="K34" s="5"/>
    </row>
    <row r="35" spans="7:11" x14ac:dyDescent="0.35">
      <c r="G35" s="5"/>
      <c r="H35" s="5"/>
      <c r="K35" s="5"/>
    </row>
    <row r="36" spans="7:11" x14ac:dyDescent="0.35">
      <c r="G36" s="5"/>
      <c r="H36" s="5"/>
      <c r="K36" s="5"/>
    </row>
    <row r="37" spans="7:11" x14ac:dyDescent="0.35">
      <c r="G37" s="5"/>
      <c r="H37" s="5"/>
      <c r="K37" s="5"/>
    </row>
    <row r="38" spans="7:11" x14ac:dyDescent="0.35">
      <c r="G38" s="5"/>
      <c r="H38" s="5"/>
      <c r="K38" s="5"/>
    </row>
    <row r="39" spans="7:11" x14ac:dyDescent="0.35">
      <c r="G39" s="5"/>
      <c r="H39" s="5"/>
      <c r="K39" s="5"/>
    </row>
    <row r="40" spans="7:11" x14ac:dyDescent="0.35">
      <c r="G40" s="5"/>
      <c r="H40" s="5"/>
      <c r="K40" s="5"/>
    </row>
    <row r="41" spans="7:11" x14ac:dyDescent="0.35">
      <c r="G41" s="5"/>
      <c r="H41" s="5"/>
      <c r="K41" s="5"/>
    </row>
    <row r="42" spans="7:11" x14ac:dyDescent="0.35">
      <c r="G42" s="5"/>
      <c r="H42" s="5"/>
      <c r="K42" s="5"/>
    </row>
    <row r="43" spans="7:11" x14ac:dyDescent="0.35">
      <c r="G43" s="5"/>
      <c r="H43" s="5"/>
      <c r="K43" s="5"/>
    </row>
    <row r="44" spans="7:11" x14ac:dyDescent="0.35">
      <c r="G44" s="5"/>
      <c r="H44" s="5"/>
      <c r="K44" s="5"/>
    </row>
    <row r="45" spans="7:11" x14ac:dyDescent="0.35">
      <c r="G45" s="5"/>
      <c r="H45" s="5"/>
      <c r="K45" s="5"/>
    </row>
    <row r="46" spans="7:11" x14ac:dyDescent="0.35">
      <c r="G46" s="5"/>
      <c r="H46" s="5"/>
      <c r="K46" s="5"/>
    </row>
    <row r="47" spans="7:11" x14ac:dyDescent="0.35">
      <c r="G47" s="5"/>
      <c r="H47" s="5"/>
      <c r="K47" s="5"/>
    </row>
    <row r="48" spans="7:11" x14ac:dyDescent="0.35">
      <c r="G48" s="5"/>
      <c r="H48" s="5"/>
      <c r="K48" s="5"/>
    </row>
    <row r="49" spans="7:11" x14ac:dyDescent="0.35">
      <c r="G49" s="5"/>
      <c r="H49" s="5"/>
      <c r="K49" s="5"/>
    </row>
    <row r="50" spans="7:11" x14ac:dyDescent="0.35">
      <c r="G50" s="5"/>
      <c r="H50" s="5"/>
      <c r="K50" s="5"/>
    </row>
    <row r="51" spans="7:11" x14ac:dyDescent="0.35">
      <c r="G51" s="5"/>
      <c r="H51" s="5"/>
      <c r="K51" s="5"/>
    </row>
    <row r="52" spans="7:11" x14ac:dyDescent="0.35">
      <c r="G52" s="5"/>
      <c r="H52" s="5"/>
      <c r="K52" s="5"/>
    </row>
    <row r="53" spans="7:11" x14ac:dyDescent="0.35">
      <c r="G53" s="5"/>
      <c r="H53" s="5"/>
      <c r="K53" s="5"/>
    </row>
    <row r="54" spans="7:11" x14ac:dyDescent="0.35">
      <c r="G54" s="5"/>
      <c r="H54" s="5"/>
      <c r="K54" s="5"/>
    </row>
    <row r="55" spans="7:11" x14ac:dyDescent="0.35">
      <c r="G55" s="5"/>
      <c r="H55" s="5"/>
      <c r="K55" s="5"/>
    </row>
    <row r="56" spans="7:11" x14ac:dyDescent="0.35">
      <c r="G56" s="5"/>
      <c r="H56" s="5"/>
      <c r="K56" s="5"/>
    </row>
    <row r="57" spans="7:11" x14ac:dyDescent="0.35">
      <c r="G57" s="5"/>
      <c r="H57" s="5"/>
      <c r="K57" s="5"/>
    </row>
    <row r="58" spans="7:11" x14ac:dyDescent="0.35">
      <c r="G58" s="5"/>
      <c r="H58" s="5"/>
      <c r="K58" s="5"/>
    </row>
    <row r="59" spans="7:11" x14ac:dyDescent="0.35">
      <c r="G59" s="5"/>
      <c r="H59" s="5"/>
      <c r="K59" s="5"/>
    </row>
    <row r="60" spans="7:11" x14ac:dyDescent="0.35">
      <c r="G60" s="5"/>
      <c r="H60" s="5"/>
      <c r="K60" s="5"/>
    </row>
    <row r="61" spans="7:11" x14ac:dyDescent="0.35">
      <c r="G61" s="5"/>
      <c r="H61" s="5"/>
      <c r="K61" s="5"/>
    </row>
    <row r="62" spans="7:11" x14ac:dyDescent="0.35">
      <c r="G62" s="5"/>
      <c r="H62" s="5"/>
      <c r="K62" s="5"/>
    </row>
    <row r="63" spans="7:11" x14ac:dyDescent="0.35">
      <c r="G63" s="5"/>
      <c r="H63" s="5"/>
      <c r="K63" s="5"/>
    </row>
    <row r="64" spans="7:11" x14ac:dyDescent="0.35">
      <c r="G64" s="5"/>
      <c r="H64" s="5"/>
      <c r="K64" s="5"/>
    </row>
    <row r="65" spans="7:11" x14ac:dyDescent="0.35">
      <c r="G65" s="5"/>
      <c r="H65" s="5"/>
      <c r="K65" s="5"/>
    </row>
    <row r="66" spans="7:11" x14ac:dyDescent="0.35">
      <c r="G66" s="5"/>
      <c r="H66" s="5"/>
      <c r="K66" s="5"/>
    </row>
    <row r="67" spans="7:11" x14ac:dyDescent="0.35">
      <c r="G67" s="5"/>
      <c r="H67" s="5"/>
      <c r="K67" s="5"/>
    </row>
    <row r="68" spans="7:11" x14ac:dyDescent="0.35">
      <c r="G68" s="5"/>
      <c r="H68" s="5"/>
      <c r="K68" s="5"/>
    </row>
    <row r="69" spans="7:11" x14ac:dyDescent="0.35">
      <c r="G69" s="5"/>
      <c r="H69" s="5"/>
      <c r="K69" s="5"/>
    </row>
    <row r="70" spans="7:11" x14ac:dyDescent="0.35">
      <c r="G70" s="5"/>
      <c r="H70" s="5"/>
      <c r="K70" s="5"/>
    </row>
    <row r="71" spans="7:11" x14ac:dyDescent="0.35">
      <c r="G71" s="5"/>
      <c r="H71" s="5"/>
      <c r="K71" s="5"/>
    </row>
    <row r="72" spans="7:11" x14ac:dyDescent="0.35">
      <c r="G72" s="5"/>
      <c r="H72" s="5"/>
      <c r="K72" s="5"/>
    </row>
    <row r="73" spans="7:11" x14ac:dyDescent="0.35">
      <c r="G73" s="5"/>
      <c r="H73" s="5"/>
      <c r="K73" s="5"/>
    </row>
    <row r="74" spans="7:11" x14ac:dyDescent="0.35">
      <c r="G74" s="5"/>
      <c r="H74" s="5"/>
      <c r="K74" s="5"/>
    </row>
    <row r="75" spans="7:11" x14ac:dyDescent="0.35">
      <c r="G75" s="5"/>
      <c r="H75" s="5"/>
      <c r="K75" s="5"/>
    </row>
    <row r="76" spans="7:11" x14ac:dyDescent="0.35">
      <c r="G76" s="5"/>
      <c r="H76" s="5"/>
      <c r="K76" s="5"/>
    </row>
    <row r="77" spans="7:11" x14ac:dyDescent="0.35">
      <c r="G77" s="5"/>
      <c r="H77" s="5"/>
      <c r="K77" s="5"/>
    </row>
    <row r="78" spans="7:11" x14ac:dyDescent="0.35">
      <c r="G78" s="5"/>
      <c r="H78" s="5"/>
      <c r="K78" s="5"/>
    </row>
    <row r="79" spans="7:11" x14ac:dyDescent="0.35">
      <c r="G79" s="5"/>
      <c r="H79" s="5"/>
      <c r="K79" s="5"/>
    </row>
    <row r="80" spans="7:11" x14ac:dyDescent="0.35">
      <c r="G80" s="5"/>
      <c r="H80" s="5"/>
      <c r="K80" s="5"/>
    </row>
    <row r="81" spans="7:11" x14ac:dyDescent="0.35">
      <c r="G81" s="5"/>
      <c r="H81" s="5"/>
      <c r="K81" s="5"/>
    </row>
    <row r="82" spans="7:11" x14ac:dyDescent="0.35">
      <c r="G82" s="5"/>
      <c r="H82" s="5"/>
      <c r="K82" s="5"/>
    </row>
    <row r="83" spans="7:11" x14ac:dyDescent="0.35">
      <c r="G83" s="5"/>
      <c r="H83" s="5"/>
      <c r="K83" s="5"/>
    </row>
    <row r="84" spans="7:11" x14ac:dyDescent="0.35">
      <c r="G84" s="5"/>
      <c r="H84" s="5"/>
      <c r="K84" s="5"/>
    </row>
    <row r="85" spans="7:11" x14ac:dyDescent="0.35">
      <c r="G85" s="5"/>
      <c r="H85" s="5"/>
      <c r="K85" s="5"/>
    </row>
    <row r="86" spans="7:11" x14ac:dyDescent="0.35">
      <c r="G86" s="5"/>
      <c r="H86" s="5"/>
      <c r="K86" s="5"/>
    </row>
    <row r="87" spans="7:11" x14ac:dyDescent="0.35">
      <c r="G87" s="5"/>
      <c r="H87" s="5"/>
      <c r="K87" s="5"/>
    </row>
    <row r="88" spans="7:11" x14ac:dyDescent="0.35">
      <c r="G88" s="5"/>
      <c r="H88" s="5"/>
      <c r="K88" s="5"/>
    </row>
    <row r="89" spans="7:11" x14ac:dyDescent="0.35">
      <c r="G89" s="5"/>
      <c r="H89" s="5"/>
      <c r="K89" s="5"/>
    </row>
    <row r="90" spans="7:11" x14ac:dyDescent="0.35">
      <c r="G90" s="5"/>
      <c r="H90" s="5"/>
      <c r="K90" s="5"/>
    </row>
    <row r="91" spans="7:11" x14ac:dyDescent="0.35">
      <c r="G91" s="5"/>
      <c r="H91" s="5"/>
      <c r="K91" s="5"/>
    </row>
    <row r="92" spans="7:11" x14ac:dyDescent="0.35">
      <c r="G92" s="5"/>
      <c r="H92" s="5"/>
      <c r="K92" s="5"/>
    </row>
    <row r="93" spans="7:11" x14ac:dyDescent="0.35">
      <c r="G93" s="5"/>
      <c r="H93" s="5"/>
      <c r="K93" s="5"/>
    </row>
    <row r="94" spans="7:11" x14ac:dyDescent="0.35">
      <c r="G94" s="5"/>
      <c r="H94" s="5"/>
      <c r="K94" s="5"/>
    </row>
    <row r="95" spans="7:11" x14ac:dyDescent="0.35">
      <c r="G95" s="5"/>
      <c r="H95" s="5"/>
      <c r="K95" s="5"/>
    </row>
    <row r="96" spans="7:11" x14ac:dyDescent="0.35">
      <c r="G96" s="5"/>
      <c r="H96" s="5"/>
      <c r="K96" s="5"/>
    </row>
    <row r="97" spans="7:11" x14ac:dyDescent="0.35">
      <c r="G97" s="5"/>
      <c r="H97" s="5"/>
      <c r="K97" s="5"/>
    </row>
    <row r="98" spans="7:11" x14ac:dyDescent="0.35">
      <c r="G98" s="5"/>
      <c r="H98" s="5"/>
      <c r="K98" s="5"/>
    </row>
    <row r="99" spans="7:11" x14ac:dyDescent="0.35">
      <c r="G99" s="5"/>
      <c r="H99" s="5"/>
      <c r="K99" s="5"/>
    </row>
    <row r="100" spans="7:11" x14ac:dyDescent="0.35">
      <c r="G100" s="5"/>
      <c r="H100" s="5"/>
      <c r="K100" s="5"/>
    </row>
    <row r="101" spans="7:11" x14ac:dyDescent="0.35">
      <c r="G101" s="5"/>
      <c r="H101" s="5"/>
      <c r="K101" s="5"/>
    </row>
    <row r="102" spans="7:11" x14ac:dyDescent="0.35">
      <c r="G102" s="5"/>
      <c r="H102" s="5"/>
      <c r="K102" s="5"/>
    </row>
    <row r="103" spans="7:11" x14ac:dyDescent="0.35">
      <c r="G103" s="5"/>
      <c r="H103" s="5"/>
      <c r="K103" s="5"/>
    </row>
    <row r="104" spans="7:11" x14ac:dyDescent="0.35">
      <c r="G104" s="5"/>
      <c r="H104" s="5"/>
      <c r="K104" s="5"/>
    </row>
    <row r="105" spans="7:11" x14ac:dyDescent="0.35">
      <c r="G105" s="5"/>
      <c r="H105" s="5"/>
      <c r="K105" s="5"/>
    </row>
    <row r="106" spans="7:11" x14ac:dyDescent="0.35">
      <c r="G106" s="5"/>
      <c r="H106" s="5"/>
      <c r="K106" s="5"/>
    </row>
    <row r="107" spans="7:11" x14ac:dyDescent="0.35">
      <c r="G107" s="5"/>
      <c r="H107" s="5"/>
      <c r="K107" s="5"/>
    </row>
    <row r="108" spans="7:11" x14ac:dyDescent="0.35">
      <c r="G108" s="5"/>
      <c r="H108" s="5"/>
      <c r="K108" s="5"/>
    </row>
    <row r="109" spans="7:11" x14ac:dyDescent="0.35">
      <c r="G109" s="5"/>
      <c r="H109" s="5"/>
      <c r="K109" s="5"/>
    </row>
    <row r="110" spans="7:11" x14ac:dyDescent="0.35">
      <c r="G110" s="5"/>
      <c r="H110" s="5"/>
      <c r="K110" s="5"/>
    </row>
    <row r="111" spans="7:11" x14ac:dyDescent="0.35">
      <c r="G111" s="5"/>
      <c r="H111" s="5"/>
      <c r="K111" s="5"/>
    </row>
    <row r="112" spans="7:11" x14ac:dyDescent="0.35">
      <c r="G112" s="5"/>
      <c r="H112" s="5"/>
      <c r="K112" s="5"/>
    </row>
    <row r="113" spans="7:11" x14ac:dyDescent="0.35">
      <c r="G113" s="5"/>
      <c r="H113" s="5"/>
      <c r="K113" s="5"/>
    </row>
    <row r="114" spans="7:11" x14ac:dyDescent="0.35">
      <c r="G114" s="5"/>
      <c r="H114" s="5"/>
      <c r="K114" s="5"/>
    </row>
    <row r="115" spans="7:11" x14ac:dyDescent="0.35">
      <c r="G115" s="5"/>
      <c r="H115" s="5"/>
      <c r="K115" s="5"/>
    </row>
    <row r="116" spans="7:11" x14ac:dyDescent="0.35">
      <c r="G116" s="5"/>
      <c r="H116" s="5"/>
      <c r="K116" s="5"/>
    </row>
    <row r="117" spans="7:11" x14ac:dyDescent="0.35">
      <c r="G117" s="5"/>
      <c r="H117" s="5"/>
      <c r="K117" s="5"/>
    </row>
    <row r="118" spans="7:11" x14ac:dyDescent="0.35">
      <c r="G118" s="5"/>
      <c r="H118" s="5"/>
      <c r="K118" s="5"/>
    </row>
    <row r="119" spans="7:11" x14ac:dyDescent="0.35">
      <c r="G119" s="5"/>
      <c r="H119" s="5"/>
      <c r="K119" s="5"/>
    </row>
    <row r="120" spans="7:11" x14ac:dyDescent="0.35">
      <c r="G120" s="5"/>
      <c r="H120" s="5"/>
      <c r="K120" s="5"/>
    </row>
    <row r="121" spans="7:11" x14ac:dyDescent="0.35">
      <c r="G121" s="5"/>
      <c r="H121" s="5"/>
      <c r="K121" s="5"/>
    </row>
    <row r="122" spans="7:11" x14ac:dyDescent="0.35">
      <c r="G122" s="5"/>
      <c r="H122" s="5"/>
      <c r="K122" s="5"/>
    </row>
    <row r="123" spans="7:11" x14ac:dyDescent="0.35">
      <c r="G123" s="5"/>
      <c r="H123" s="5"/>
      <c r="K123" s="5"/>
    </row>
    <row r="124" spans="7:11" x14ac:dyDescent="0.35">
      <c r="G124" s="5"/>
      <c r="H124" s="5"/>
      <c r="K124" s="5"/>
    </row>
    <row r="125" spans="7:11" x14ac:dyDescent="0.35">
      <c r="G125" s="5"/>
      <c r="H125" s="5"/>
      <c r="K125" s="5"/>
    </row>
    <row r="126" spans="7:11" x14ac:dyDescent="0.35">
      <c r="G126" s="5"/>
      <c r="H126" s="5"/>
      <c r="K126" s="5"/>
    </row>
    <row r="127" spans="7:11" x14ac:dyDescent="0.35">
      <c r="G127" s="5"/>
      <c r="H127" s="5"/>
      <c r="K127" s="5"/>
    </row>
    <row r="128" spans="7:11" x14ac:dyDescent="0.35">
      <c r="G128" s="5"/>
      <c r="H128" s="5"/>
      <c r="K128" s="5"/>
    </row>
    <row r="129" spans="7:11" x14ac:dyDescent="0.35">
      <c r="G129" s="5"/>
      <c r="H129" s="5"/>
      <c r="K129" s="5"/>
    </row>
    <row r="130" spans="7:11" x14ac:dyDescent="0.35">
      <c r="G130" s="5"/>
      <c r="H130" s="5"/>
      <c r="K130" s="5"/>
    </row>
    <row r="131" spans="7:11" x14ac:dyDescent="0.35">
      <c r="G131" s="5"/>
      <c r="H131" s="5"/>
      <c r="K131" s="5"/>
    </row>
    <row r="132" spans="7:11" x14ac:dyDescent="0.35">
      <c r="G132" s="5"/>
      <c r="H132" s="5"/>
      <c r="K132" s="5"/>
    </row>
    <row r="133" spans="7:11" x14ac:dyDescent="0.35">
      <c r="G133" s="5"/>
      <c r="H133" s="5"/>
      <c r="K133" s="5"/>
    </row>
    <row r="134" spans="7:11" x14ac:dyDescent="0.35">
      <c r="G134" s="5"/>
      <c r="H134" s="5"/>
      <c r="K134" s="5"/>
    </row>
    <row r="135" spans="7:11" x14ac:dyDescent="0.35">
      <c r="G135" s="5"/>
      <c r="H135" s="5"/>
      <c r="K135" s="5"/>
    </row>
    <row r="136" spans="7:11" x14ac:dyDescent="0.35">
      <c r="G136" s="5"/>
      <c r="H136" s="5"/>
      <c r="K136" s="5"/>
    </row>
    <row r="137" spans="7:11" x14ac:dyDescent="0.35">
      <c r="G137" s="5"/>
      <c r="H137" s="5"/>
      <c r="K137" s="5"/>
    </row>
    <row r="138" spans="7:11" x14ac:dyDescent="0.35">
      <c r="G138" s="5"/>
      <c r="H138" s="5"/>
      <c r="K138" s="5"/>
    </row>
    <row r="139" spans="7:11" x14ac:dyDescent="0.35">
      <c r="G139" s="5"/>
      <c r="H139" s="5"/>
      <c r="K139" s="5"/>
    </row>
    <row r="140" spans="7:11" x14ac:dyDescent="0.35">
      <c r="G140" s="5"/>
      <c r="H140" s="5"/>
      <c r="K140" s="5"/>
    </row>
    <row r="141" spans="7:11" x14ac:dyDescent="0.35">
      <c r="G141" s="5"/>
      <c r="H141" s="5"/>
      <c r="K141" s="5"/>
    </row>
    <row r="142" spans="7:11" x14ac:dyDescent="0.35">
      <c r="G142" s="5"/>
      <c r="H142" s="5"/>
      <c r="K142" s="5"/>
    </row>
    <row r="143" spans="7:11" x14ac:dyDescent="0.35">
      <c r="G143" s="5"/>
      <c r="H143" s="5"/>
      <c r="K143" s="5"/>
    </row>
    <row r="144" spans="7:11" x14ac:dyDescent="0.35">
      <c r="G144" s="5"/>
      <c r="H144" s="5"/>
      <c r="K144" s="5"/>
    </row>
    <row r="145" spans="7:11" x14ac:dyDescent="0.35">
      <c r="G145" s="5"/>
      <c r="H145" s="5"/>
      <c r="K145" s="5"/>
    </row>
    <row r="146" spans="7:11" x14ac:dyDescent="0.35">
      <c r="G146" s="5"/>
      <c r="H146" s="5"/>
      <c r="K146" s="5"/>
    </row>
    <row r="147" spans="7:11" x14ac:dyDescent="0.35">
      <c r="G147" s="5"/>
      <c r="H147" s="5"/>
      <c r="K147" s="5"/>
    </row>
    <row r="148" spans="7:11" x14ac:dyDescent="0.35">
      <c r="G148" s="5"/>
      <c r="H148" s="5"/>
      <c r="K148" s="5"/>
    </row>
    <row r="149" spans="7:11" x14ac:dyDescent="0.35">
      <c r="G149" s="5"/>
      <c r="H149" s="5"/>
      <c r="K149" s="5"/>
    </row>
    <row r="150" spans="7:11" x14ac:dyDescent="0.35">
      <c r="G150" s="5"/>
      <c r="H150" s="5"/>
      <c r="K150" s="5"/>
    </row>
    <row r="151" spans="7:11" x14ac:dyDescent="0.35">
      <c r="G151" s="5"/>
      <c r="H151" s="5"/>
      <c r="K151" s="5"/>
    </row>
    <row r="152" spans="7:11" x14ac:dyDescent="0.35">
      <c r="G152" s="5"/>
      <c r="H152" s="5"/>
      <c r="K152" s="5"/>
    </row>
    <row r="153" spans="7:11" x14ac:dyDescent="0.35">
      <c r="G153" s="5"/>
      <c r="H153" s="5"/>
      <c r="K153" s="5"/>
    </row>
    <row r="154" spans="7:11" x14ac:dyDescent="0.35">
      <c r="G154" s="5"/>
      <c r="H154" s="5"/>
      <c r="K154" s="5"/>
    </row>
    <row r="155" spans="7:11" x14ac:dyDescent="0.35">
      <c r="G155" s="5"/>
      <c r="H155" s="5"/>
      <c r="K155" s="5"/>
    </row>
    <row r="156" spans="7:11" x14ac:dyDescent="0.35">
      <c r="G156" s="5"/>
      <c r="H156" s="5"/>
      <c r="K156" s="5"/>
    </row>
    <row r="157" spans="7:11" x14ac:dyDescent="0.35">
      <c r="G157" s="5"/>
      <c r="H157" s="5"/>
      <c r="K157" s="5"/>
    </row>
    <row r="158" spans="7:11" x14ac:dyDescent="0.35">
      <c r="G158" s="5"/>
      <c r="H158" s="5"/>
      <c r="K158" s="5"/>
    </row>
    <row r="159" spans="7:11" x14ac:dyDescent="0.35">
      <c r="G159" s="5"/>
      <c r="H159" s="5"/>
      <c r="K159" s="5"/>
    </row>
    <row r="160" spans="7:11" x14ac:dyDescent="0.35">
      <c r="G160" s="5"/>
      <c r="H160" s="5"/>
      <c r="K160" s="5"/>
    </row>
    <row r="161" spans="7:11" x14ac:dyDescent="0.35">
      <c r="G161" s="5"/>
      <c r="H161" s="5"/>
      <c r="K161" s="5"/>
    </row>
    <row r="162" spans="7:11" x14ac:dyDescent="0.35">
      <c r="G162" s="5"/>
      <c r="H162" s="5"/>
      <c r="K162" s="5"/>
    </row>
    <row r="163" spans="7:11" x14ac:dyDescent="0.35">
      <c r="G163" s="5"/>
      <c r="H163" s="5"/>
      <c r="K163" s="5"/>
    </row>
    <row r="164" spans="7:11" x14ac:dyDescent="0.35">
      <c r="G164" s="5"/>
      <c r="H164" s="5"/>
      <c r="K164" s="5"/>
    </row>
    <row r="165" spans="7:11" x14ac:dyDescent="0.35">
      <c r="G165" s="5"/>
      <c r="H165" s="5"/>
      <c r="K165" s="5"/>
    </row>
    <row r="166" spans="7:11" x14ac:dyDescent="0.35">
      <c r="G166" s="5"/>
      <c r="H166" s="5"/>
      <c r="K166" s="5"/>
    </row>
    <row r="167" spans="7:11" x14ac:dyDescent="0.35">
      <c r="G167" s="5"/>
      <c r="H167" s="5"/>
      <c r="K167" s="5"/>
    </row>
    <row r="168" spans="7:11" x14ac:dyDescent="0.35">
      <c r="G168" s="5"/>
      <c r="H168" s="5"/>
      <c r="K168" s="5"/>
    </row>
    <row r="169" spans="7:11" x14ac:dyDescent="0.35">
      <c r="G169" s="5"/>
      <c r="H169" s="5"/>
      <c r="K169" s="5"/>
    </row>
    <row r="170" spans="7:11" x14ac:dyDescent="0.35">
      <c r="G170" s="5"/>
      <c r="H170" s="5"/>
      <c r="K170" s="5"/>
    </row>
    <row r="171" spans="7:11" x14ac:dyDescent="0.35">
      <c r="G171" s="5"/>
      <c r="H171" s="5"/>
      <c r="K171" s="5"/>
    </row>
    <row r="172" spans="7:11" x14ac:dyDescent="0.35">
      <c r="G172" s="5"/>
      <c r="H172" s="5"/>
      <c r="K172" s="5"/>
    </row>
    <row r="173" spans="7:11" x14ac:dyDescent="0.35">
      <c r="G173" s="5"/>
      <c r="H173" s="5"/>
      <c r="K173" s="5"/>
    </row>
    <row r="174" spans="7:11" x14ac:dyDescent="0.35">
      <c r="G174" s="5"/>
      <c r="H174" s="5"/>
      <c r="K174" s="5"/>
    </row>
    <row r="175" spans="7:11" x14ac:dyDescent="0.35">
      <c r="G175" s="5"/>
      <c r="H175" s="5"/>
      <c r="K175" s="5"/>
    </row>
    <row r="176" spans="7:11" x14ac:dyDescent="0.35">
      <c r="G176" s="5"/>
      <c r="H176" s="5"/>
      <c r="K176" s="5"/>
    </row>
    <row r="177" spans="7:11" x14ac:dyDescent="0.35">
      <c r="G177" s="5"/>
      <c r="H177" s="5"/>
      <c r="K177" s="5"/>
    </row>
    <row r="178" spans="7:11" x14ac:dyDescent="0.35">
      <c r="G178" s="5"/>
      <c r="H178" s="5"/>
      <c r="K178" s="5"/>
    </row>
    <row r="179" spans="7:11" x14ac:dyDescent="0.35">
      <c r="G179" s="5"/>
      <c r="H179" s="5"/>
      <c r="K179" s="5"/>
    </row>
    <row r="180" spans="7:11" x14ac:dyDescent="0.35">
      <c r="G180" s="5"/>
      <c r="H180" s="5"/>
      <c r="K180" s="5"/>
    </row>
    <row r="181" spans="7:11" x14ac:dyDescent="0.35">
      <c r="G181" s="5"/>
      <c r="H181" s="5"/>
      <c r="K181" s="5"/>
    </row>
    <row r="182" spans="7:11" x14ac:dyDescent="0.35">
      <c r="G182" s="5"/>
      <c r="H182" s="5"/>
      <c r="K182" s="5"/>
    </row>
    <row r="183" spans="7:11" x14ac:dyDescent="0.35">
      <c r="G183" s="5"/>
      <c r="H183" s="5"/>
      <c r="K183" s="5"/>
    </row>
    <row r="184" spans="7:11" x14ac:dyDescent="0.35">
      <c r="G184" s="5"/>
      <c r="H184" s="5"/>
      <c r="K184" s="5"/>
    </row>
    <row r="185" spans="7:11" x14ac:dyDescent="0.35">
      <c r="G185" s="5"/>
      <c r="H185" s="5"/>
      <c r="K185" s="5"/>
    </row>
    <row r="186" spans="7:11" x14ac:dyDescent="0.35">
      <c r="G186" s="5"/>
      <c r="H186" s="5"/>
      <c r="K186" s="5"/>
    </row>
    <row r="187" spans="7:11" x14ac:dyDescent="0.35">
      <c r="G187" s="5"/>
      <c r="H187" s="5"/>
      <c r="K187" s="5"/>
    </row>
    <row r="188" spans="7:11" x14ac:dyDescent="0.35">
      <c r="G188" s="5"/>
      <c r="H188" s="5"/>
      <c r="K188" s="5"/>
    </row>
    <row r="189" spans="7:11" x14ac:dyDescent="0.35">
      <c r="G189" s="5"/>
      <c r="H189" s="5"/>
      <c r="K189" s="5"/>
    </row>
    <row r="190" spans="7:11" x14ac:dyDescent="0.35">
      <c r="G190" s="5"/>
      <c r="H190" s="5"/>
      <c r="K190" s="5"/>
    </row>
    <row r="191" spans="7:11" x14ac:dyDescent="0.35">
      <c r="G191" s="5"/>
      <c r="H191" s="5"/>
      <c r="K191" s="5"/>
    </row>
    <row r="192" spans="7:11" x14ac:dyDescent="0.35">
      <c r="G192" s="5"/>
      <c r="H192" s="5"/>
      <c r="K192" s="5"/>
    </row>
    <row r="193" spans="7:11" x14ac:dyDescent="0.35">
      <c r="G193" s="5"/>
      <c r="H193" s="5"/>
      <c r="K193" s="5"/>
    </row>
    <row r="194" spans="7:11" x14ac:dyDescent="0.35">
      <c r="G194" s="5"/>
      <c r="H194" s="5"/>
      <c r="K194" s="5"/>
    </row>
    <row r="195" spans="7:11" x14ac:dyDescent="0.35">
      <c r="G195" s="5"/>
      <c r="H195" s="5"/>
      <c r="K195" s="5"/>
    </row>
    <row r="196" spans="7:11" x14ac:dyDescent="0.35">
      <c r="G196" s="5"/>
      <c r="H196" s="5"/>
      <c r="K196" s="5"/>
    </row>
    <row r="197" spans="7:11" x14ac:dyDescent="0.35">
      <c r="G197" s="5"/>
      <c r="H197" s="5"/>
      <c r="K197" s="5"/>
    </row>
    <row r="198" spans="7:11" x14ac:dyDescent="0.35">
      <c r="G198" s="5"/>
      <c r="H198" s="5"/>
      <c r="K198" s="5"/>
    </row>
    <row r="199" spans="7:11" x14ac:dyDescent="0.35">
      <c r="G199" s="5"/>
      <c r="H199" s="5"/>
      <c r="K199" s="5"/>
    </row>
    <row r="200" spans="7:11" x14ac:dyDescent="0.35">
      <c r="G200" s="5"/>
      <c r="H200" s="5"/>
      <c r="K200" s="5"/>
    </row>
    <row r="201" spans="7:11" x14ac:dyDescent="0.35">
      <c r="G201" s="5"/>
      <c r="H201" s="5"/>
      <c r="K201" s="5"/>
    </row>
    <row r="202" spans="7:11" x14ac:dyDescent="0.35">
      <c r="G202" s="5"/>
      <c r="H202" s="5"/>
      <c r="K202" s="5"/>
    </row>
    <row r="203" spans="7:11" x14ac:dyDescent="0.35">
      <c r="G203" s="5"/>
      <c r="H203" s="5"/>
      <c r="K203" s="5"/>
    </row>
    <row r="204" spans="7:11" x14ac:dyDescent="0.35">
      <c r="G204" s="5"/>
      <c r="H204" s="5"/>
      <c r="K204" s="5"/>
    </row>
    <row r="205" spans="7:11" x14ac:dyDescent="0.35">
      <c r="G205" s="5"/>
      <c r="H205" s="5"/>
      <c r="K205" s="5"/>
    </row>
    <row r="206" spans="7:11" x14ac:dyDescent="0.35">
      <c r="G206" s="5"/>
      <c r="H206" s="5"/>
      <c r="K206" s="5"/>
    </row>
    <row r="207" spans="7:11" x14ac:dyDescent="0.35">
      <c r="G207" s="5"/>
      <c r="H207" s="5"/>
      <c r="K207" s="5"/>
    </row>
    <row r="208" spans="7:11" x14ac:dyDescent="0.35">
      <c r="G208" s="5"/>
      <c r="H208" s="5"/>
      <c r="K208" s="5"/>
    </row>
    <row r="209" spans="7:11" x14ac:dyDescent="0.35">
      <c r="G209" s="5"/>
      <c r="H209" s="5"/>
      <c r="K209" s="5"/>
    </row>
    <row r="210" spans="7:11" x14ac:dyDescent="0.35">
      <c r="G210" s="5"/>
      <c r="H210" s="5"/>
      <c r="K210" s="5"/>
    </row>
    <row r="211" spans="7:11" x14ac:dyDescent="0.35">
      <c r="G211" s="5"/>
      <c r="H211" s="5"/>
      <c r="K211" s="5"/>
    </row>
    <row r="212" spans="7:11" x14ac:dyDescent="0.35">
      <c r="G212" s="5"/>
      <c r="H212" s="5"/>
      <c r="K212" s="5"/>
    </row>
    <row r="213" spans="7:11" x14ac:dyDescent="0.35">
      <c r="G213" s="5"/>
      <c r="H213" s="5"/>
      <c r="K213" s="5"/>
    </row>
    <row r="214" spans="7:11" x14ac:dyDescent="0.35">
      <c r="G214" s="5"/>
      <c r="H214" s="5"/>
      <c r="K214" s="5"/>
    </row>
    <row r="215" spans="7:11" x14ac:dyDescent="0.35">
      <c r="G215" s="5"/>
      <c r="H215" s="5"/>
      <c r="K215" s="5"/>
    </row>
    <row r="216" spans="7:11" x14ac:dyDescent="0.35">
      <c r="G216" s="5"/>
      <c r="H216" s="5"/>
      <c r="K216" s="5"/>
    </row>
    <row r="217" spans="7:11" x14ac:dyDescent="0.35">
      <c r="G217" s="5"/>
      <c r="H217" s="5"/>
      <c r="K217" s="5"/>
    </row>
    <row r="218" spans="7:11" x14ac:dyDescent="0.35">
      <c r="G218" s="5"/>
      <c r="H218" s="5"/>
      <c r="K218" s="5"/>
    </row>
    <row r="219" spans="7:11" x14ac:dyDescent="0.35">
      <c r="G219" s="5"/>
      <c r="H219" s="5"/>
      <c r="K219" s="5"/>
    </row>
    <row r="220" spans="7:11" x14ac:dyDescent="0.35">
      <c r="G220" s="5"/>
      <c r="H220" s="5"/>
      <c r="K220" s="5"/>
    </row>
    <row r="221" spans="7:11" x14ac:dyDescent="0.35">
      <c r="G221" s="5"/>
      <c r="H221" s="5"/>
      <c r="K221" s="5"/>
    </row>
    <row r="222" spans="7:11" x14ac:dyDescent="0.35">
      <c r="G222" s="5"/>
      <c r="H222" s="5"/>
      <c r="K222" s="5"/>
    </row>
    <row r="223" spans="7:11" x14ac:dyDescent="0.35">
      <c r="G223" s="5"/>
      <c r="H223" s="5"/>
      <c r="K223" s="5"/>
    </row>
    <row r="224" spans="7:11" x14ac:dyDescent="0.35">
      <c r="G224" s="5"/>
      <c r="H224" s="5"/>
      <c r="K224" s="5"/>
    </row>
    <row r="225" spans="7:11" x14ac:dyDescent="0.35">
      <c r="G225" s="5"/>
      <c r="H225" s="5"/>
      <c r="K225" s="5"/>
    </row>
    <row r="226" spans="7:11" x14ac:dyDescent="0.35">
      <c r="G226" s="5"/>
      <c r="H226" s="5"/>
      <c r="K226" s="5"/>
    </row>
    <row r="227" spans="7:11" x14ac:dyDescent="0.35">
      <c r="G227" s="5"/>
      <c r="H227" s="5"/>
      <c r="K227" s="5"/>
    </row>
    <row r="228" spans="7:11" x14ac:dyDescent="0.35">
      <c r="G228" s="5"/>
      <c r="H228" s="5"/>
      <c r="K228" s="5"/>
    </row>
    <row r="229" spans="7:11" x14ac:dyDescent="0.35">
      <c r="G229" s="5"/>
      <c r="H229" s="5"/>
      <c r="K229" s="5"/>
    </row>
    <row r="230" spans="7:11" x14ac:dyDescent="0.35">
      <c r="G230" s="5"/>
      <c r="H230" s="5"/>
      <c r="K230" s="5"/>
    </row>
    <row r="231" spans="7:11" x14ac:dyDescent="0.35">
      <c r="G231" s="5"/>
      <c r="H231" s="5"/>
      <c r="K231" s="5"/>
    </row>
    <row r="232" spans="7:11" x14ac:dyDescent="0.35">
      <c r="G232" s="5"/>
      <c r="H232" s="5"/>
      <c r="K232" s="5"/>
    </row>
    <row r="233" spans="7:11" x14ac:dyDescent="0.35">
      <c r="G233" s="5"/>
      <c r="H233" s="5"/>
      <c r="K233" s="5"/>
    </row>
    <row r="234" spans="7:11" x14ac:dyDescent="0.35">
      <c r="G234" s="5"/>
      <c r="H234" s="5"/>
      <c r="K234" s="5"/>
    </row>
    <row r="235" spans="7:11" x14ac:dyDescent="0.35">
      <c r="G235" s="5"/>
      <c r="H235" s="5"/>
      <c r="K235" s="5"/>
    </row>
    <row r="236" spans="7:11" x14ac:dyDescent="0.35">
      <c r="G236" s="5"/>
      <c r="H236" s="5"/>
      <c r="K236" s="5"/>
    </row>
    <row r="237" spans="7:11" x14ac:dyDescent="0.35">
      <c r="G237" s="5"/>
      <c r="H237" s="5"/>
      <c r="K237" s="5"/>
    </row>
    <row r="238" spans="7:11" x14ac:dyDescent="0.35">
      <c r="G238" s="5"/>
      <c r="H238" s="5"/>
      <c r="K238" s="5"/>
    </row>
    <row r="239" spans="7:11" x14ac:dyDescent="0.35">
      <c r="G239" s="5"/>
      <c r="H239" s="5"/>
      <c r="K239" s="5"/>
    </row>
    <row r="240" spans="7:11" x14ac:dyDescent="0.35">
      <c r="G240" s="5"/>
      <c r="H240" s="5"/>
      <c r="K240" s="5"/>
    </row>
    <row r="241" spans="7:11" x14ac:dyDescent="0.35">
      <c r="G241" s="5"/>
      <c r="H241" s="5"/>
      <c r="K241" s="5"/>
    </row>
    <row r="242" spans="7:11" x14ac:dyDescent="0.35">
      <c r="G242" s="5"/>
      <c r="H242" s="5"/>
      <c r="K242" s="5"/>
    </row>
    <row r="243" spans="7:11" x14ac:dyDescent="0.35">
      <c r="G243" s="5"/>
      <c r="H243" s="5"/>
      <c r="K243" s="5"/>
    </row>
    <row r="244" spans="7:11" x14ac:dyDescent="0.35">
      <c r="G244" s="5"/>
      <c r="H244" s="5"/>
      <c r="K244" s="5"/>
    </row>
    <row r="245" spans="7:11" x14ac:dyDescent="0.35">
      <c r="G245" s="5"/>
      <c r="H245" s="5"/>
      <c r="K245" s="5"/>
    </row>
    <row r="246" spans="7:11" x14ac:dyDescent="0.35">
      <c r="G246" s="5"/>
      <c r="H246" s="5"/>
      <c r="K246" s="5"/>
    </row>
    <row r="247" spans="7:11" x14ac:dyDescent="0.35">
      <c r="G247" s="5"/>
      <c r="H247" s="5"/>
      <c r="K247" s="5"/>
    </row>
    <row r="248" spans="7:11" x14ac:dyDescent="0.35">
      <c r="G248" s="5"/>
      <c r="H248" s="5"/>
      <c r="K248" s="5"/>
    </row>
    <row r="249" spans="7:11" x14ac:dyDescent="0.35">
      <c r="G249" s="5"/>
      <c r="H249" s="5"/>
      <c r="K249" s="5"/>
    </row>
    <row r="250" spans="7:11" x14ac:dyDescent="0.35">
      <c r="G250" s="5"/>
      <c r="H250" s="5"/>
      <c r="K250" s="5"/>
    </row>
    <row r="251" spans="7:11" x14ac:dyDescent="0.35">
      <c r="G251" s="5"/>
      <c r="H251" s="5"/>
      <c r="K251" s="5"/>
    </row>
    <row r="252" spans="7:11" x14ac:dyDescent="0.35">
      <c r="G252" s="5"/>
      <c r="H252" s="5"/>
      <c r="K252" s="5"/>
    </row>
    <row r="253" spans="7:11" x14ac:dyDescent="0.35">
      <c r="G253" s="5"/>
      <c r="H253" s="5"/>
      <c r="K253" s="5"/>
    </row>
    <row r="254" spans="7:11" x14ac:dyDescent="0.35">
      <c r="G254" s="5"/>
      <c r="H254" s="5"/>
      <c r="K254" s="5"/>
    </row>
    <row r="255" spans="7:11" x14ac:dyDescent="0.35">
      <c r="G255" s="5"/>
      <c r="H255" s="5"/>
      <c r="K255" s="5"/>
    </row>
    <row r="256" spans="7:11" x14ac:dyDescent="0.35">
      <c r="G256" s="5"/>
      <c r="H256" s="5"/>
      <c r="K256" s="5"/>
    </row>
    <row r="257" spans="7:11" x14ac:dyDescent="0.35">
      <c r="G257" s="5"/>
      <c r="H257" s="5"/>
      <c r="K257" s="5"/>
    </row>
    <row r="258" spans="7:11" x14ac:dyDescent="0.35">
      <c r="G258" s="5"/>
      <c r="H258" s="5"/>
      <c r="K258" s="5"/>
    </row>
    <row r="259" spans="7:11" x14ac:dyDescent="0.35">
      <c r="G259" s="5"/>
      <c r="H259" s="5"/>
      <c r="K259" s="5"/>
    </row>
    <row r="260" spans="7:11" x14ac:dyDescent="0.35">
      <c r="G260" s="5"/>
      <c r="H260" s="5"/>
      <c r="K260" s="5"/>
    </row>
    <row r="261" spans="7:11" x14ac:dyDescent="0.35">
      <c r="G261" s="5"/>
      <c r="H261" s="5"/>
      <c r="K261" s="5"/>
    </row>
    <row r="262" spans="7:11" x14ac:dyDescent="0.35">
      <c r="G262" s="5"/>
      <c r="H262" s="5"/>
      <c r="K262" s="5"/>
    </row>
    <row r="263" spans="7:11" x14ac:dyDescent="0.35">
      <c r="G263" s="5"/>
      <c r="H263" s="5"/>
      <c r="K263" s="5"/>
    </row>
    <row r="264" spans="7:11" x14ac:dyDescent="0.35">
      <c r="G264" s="5"/>
      <c r="H264" s="5"/>
      <c r="K264" s="5"/>
    </row>
    <row r="265" spans="7:11" x14ac:dyDescent="0.35">
      <c r="G265" s="5"/>
      <c r="H265" s="5"/>
      <c r="K265" s="5"/>
    </row>
    <row r="266" spans="7:11" x14ac:dyDescent="0.35">
      <c r="G266" s="5"/>
      <c r="H266" s="5"/>
      <c r="K266" s="5"/>
    </row>
    <row r="267" spans="7:11" x14ac:dyDescent="0.35">
      <c r="G267" s="5"/>
      <c r="H267" s="5"/>
      <c r="K267" s="5"/>
    </row>
    <row r="268" spans="7:11" x14ac:dyDescent="0.35">
      <c r="G268" s="5"/>
      <c r="H268" s="5"/>
      <c r="K268" s="5"/>
    </row>
    <row r="269" spans="7:11" x14ac:dyDescent="0.35">
      <c r="G269" s="5"/>
      <c r="H269" s="5"/>
      <c r="K269" s="5"/>
    </row>
    <row r="270" spans="7:11" x14ac:dyDescent="0.35">
      <c r="G270" s="5"/>
      <c r="H270" s="5"/>
      <c r="K270" s="5"/>
    </row>
    <row r="271" spans="7:11" x14ac:dyDescent="0.35">
      <c r="G271" s="5"/>
      <c r="H271" s="5"/>
      <c r="K271" s="5"/>
    </row>
    <row r="272" spans="7:11" x14ac:dyDescent="0.35">
      <c r="G272" s="5"/>
      <c r="H272" s="5"/>
      <c r="K272" s="5"/>
    </row>
    <row r="273" spans="7:11" x14ac:dyDescent="0.35">
      <c r="G273" s="5"/>
      <c r="H273" s="5"/>
      <c r="K273" s="5"/>
    </row>
    <row r="274" spans="7:11" x14ac:dyDescent="0.35">
      <c r="G274" s="5"/>
      <c r="H274" s="5"/>
      <c r="K274" s="5"/>
    </row>
    <row r="275" spans="7:11" x14ac:dyDescent="0.35">
      <c r="G275" s="5"/>
      <c r="H275" s="5"/>
      <c r="K275" s="5"/>
    </row>
    <row r="276" spans="7:11" x14ac:dyDescent="0.35">
      <c r="G276" s="5"/>
      <c r="H276" s="5"/>
      <c r="K276" s="5"/>
    </row>
    <row r="277" spans="7:11" x14ac:dyDescent="0.35">
      <c r="G277" s="5"/>
      <c r="H277" s="5"/>
      <c r="K277" s="5"/>
    </row>
    <row r="278" spans="7:11" x14ac:dyDescent="0.35">
      <c r="G278" s="5"/>
      <c r="H278" s="5"/>
      <c r="K278" s="5"/>
    </row>
    <row r="279" spans="7:11" x14ac:dyDescent="0.35">
      <c r="G279" s="5"/>
      <c r="H279" s="5"/>
      <c r="K279" s="5"/>
    </row>
    <row r="280" spans="7:11" x14ac:dyDescent="0.35">
      <c r="G280" s="5"/>
      <c r="H280" s="5"/>
      <c r="K280" s="5"/>
    </row>
    <row r="281" spans="7:11" x14ac:dyDescent="0.35">
      <c r="G281" s="5"/>
      <c r="H281" s="5"/>
      <c r="K281" s="5"/>
    </row>
    <row r="282" spans="7:11" x14ac:dyDescent="0.35">
      <c r="G282" s="5"/>
      <c r="H282" s="5"/>
      <c r="K282" s="5"/>
    </row>
    <row r="283" spans="7:11" x14ac:dyDescent="0.35">
      <c r="G283" s="5"/>
      <c r="H283" s="5"/>
      <c r="K283" s="5"/>
    </row>
    <row r="284" spans="7:11" x14ac:dyDescent="0.35">
      <c r="G284" s="5"/>
      <c r="H284" s="5"/>
      <c r="K284" s="5"/>
    </row>
    <row r="285" spans="7:11" x14ac:dyDescent="0.35">
      <c r="G285" s="5"/>
      <c r="H285" s="5"/>
      <c r="K285" s="5"/>
    </row>
    <row r="286" spans="7:11" x14ac:dyDescent="0.35">
      <c r="G286" s="5"/>
      <c r="H286" s="5"/>
      <c r="K286" s="5"/>
    </row>
    <row r="287" spans="7:11" x14ac:dyDescent="0.35">
      <c r="G287" s="5"/>
      <c r="H287" s="5"/>
      <c r="K287" s="5"/>
    </row>
    <row r="288" spans="7:11" x14ac:dyDescent="0.35">
      <c r="G288" s="5"/>
      <c r="H288" s="5"/>
      <c r="K288" s="5"/>
    </row>
    <row r="289" spans="7:11" x14ac:dyDescent="0.35">
      <c r="G289" s="5"/>
      <c r="H289" s="5"/>
      <c r="K289" s="5"/>
    </row>
    <row r="290" spans="7:11" x14ac:dyDescent="0.35">
      <c r="G290" s="5"/>
      <c r="H290" s="5"/>
      <c r="K290" s="5"/>
    </row>
    <row r="291" spans="7:11" x14ac:dyDescent="0.35">
      <c r="G291" s="5"/>
      <c r="H291" s="5"/>
      <c r="K291" s="5"/>
    </row>
    <row r="292" spans="7:11" x14ac:dyDescent="0.35">
      <c r="G292" s="5"/>
      <c r="H292" s="5"/>
      <c r="K292" s="5"/>
    </row>
    <row r="293" spans="7:11" x14ac:dyDescent="0.35">
      <c r="G293" s="5"/>
      <c r="H293" s="5"/>
      <c r="K293" s="5"/>
    </row>
    <row r="294" spans="7:11" x14ac:dyDescent="0.35">
      <c r="G294" s="5"/>
      <c r="H294" s="5"/>
      <c r="K294" s="5"/>
    </row>
    <row r="295" spans="7:11" x14ac:dyDescent="0.35">
      <c r="G295" s="5"/>
      <c r="H295" s="5"/>
      <c r="K295" s="5"/>
    </row>
    <row r="296" spans="7:11" x14ac:dyDescent="0.35">
      <c r="G296" s="5"/>
      <c r="H296" s="5"/>
      <c r="K296" s="5"/>
    </row>
    <row r="297" spans="7:11" x14ac:dyDescent="0.35">
      <c r="G297" s="5"/>
      <c r="H297" s="5"/>
      <c r="K297" s="5"/>
    </row>
    <row r="298" spans="7:11" x14ac:dyDescent="0.35">
      <c r="G298" s="5"/>
      <c r="H298" s="5"/>
      <c r="K298" s="5"/>
    </row>
    <row r="299" spans="7:11" x14ac:dyDescent="0.35">
      <c r="G299" s="5"/>
      <c r="H299" s="5"/>
      <c r="K299" s="5"/>
    </row>
    <row r="300" spans="7:11" x14ac:dyDescent="0.35">
      <c r="G300" s="5"/>
      <c r="H300" s="5"/>
      <c r="K300" s="5"/>
    </row>
    <row r="301" spans="7:11" x14ac:dyDescent="0.35">
      <c r="G301" s="5"/>
      <c r="H301" s="5"/>
      <c r="K301" s="5"/>
    </row>
    <row r="302" spans="7:11" x14ac:dyDescent="0.35">
      <c r="G302" s="5"/>
      <c r="H302" s="5"/>
      <c r="K302" s="5"/>
    </row>
    <row r="303" spans="7:11" x14ac:dyDescent="0.35">
      <c r="G303" s="5"/>
      <c r="H303" s="5"/>
      <c r="K303" s="5"/>
    </row>
    <row r="304" spans="7:11" x14ac:dyDescent="0.35">
      <c r="G304" s="5"/>
      <c r="H304" s="5"/>
      <c r="K304" s="5"/>
    </row>
    <row r="305" spans="7:11" x14ac:dyDescent="0.35">
      <c r="G305" s="5"/>
      <c r="H305" s="5"/>
      <c r="K305" s="5"/>
    </row>
    <row r="306" spans="7:11" x14ac:dyDescent="0.35">
      <c r="G306" s="5"/>
      <c r="H306" s="5"/>
      <c r="K306" s="5"/>
    </row>
    <row r="307" spans="7:11" x14ac:dyDescent="0.35">
      <c r="G307" s="5"/>
      <c r="H307" s="5"/>
      <c r="K307" s="5"/>
    </row>
    <row r="308" spans="7:11" x14ac:dyDescent="0.35">
      <c r="G308" s="5"/>
      <c r="H308" s="5"/>
      <c r="K308" s="5"/>
    </row>
    <row r="309" spans="7:11" x14ac:dyDescent="0.35">
      <c r="G309" s="5"/>
      <c r="H309" s="5"/>
      <c r="K309" s="5"/>
    </row>
    <row r="310" spans="7:11" x14ac:dyDescent="0.35">
      <c r="G310" s="5"/>
      <c r="H310" s="5"/>
      <c r="K310" s="5"/>
    </row>
    <row r="311" spans="7:11" x14ac:dyDescent="0.35">
      <c r="G311" s="5"/>
      <c r="H311" s="5"/>
      <c r="K311" s="5"/>
    </row>
    <row r="312" spans="7:11" x14ac:dyDescent="0.35">
      <c r="G312" s="5"/>
      <c r="H312" s="5"/>
      <c r="K312" s="5"/>
    </row>
    <row r="313" spans="7:11" x14ac:dyDescent="0.35">
      <c r="G313" s="5"/>
      <c r="H313" s="5"/>
      <c r="K313" s="5"/>
    </row>
    <row r="314" spans="7:11" x14ac:dyDescent="0.35">
      <c r="G314" s="5"/>
      <c r="H314" s="5"/>
      <c r="K314" s="5"/>
    </row>
    <row r="315" spans="7:11" x14ac:dyDescent="0.35">
      <c r="G315" s="5"/>
      <c r="H315" s="5"/>
      <c r="K315" s="5"/>
    </row>
    <row r="316" spans="7:11" x14ac:dyDescent="0.35">
      <c r="G316" s="5"/>
      <c r="H316" s="5"/>
      <c r="K316" s="5"/>
    </row>
    <row r="317" spans="7:11" x14ac:dyDescent="0.35">
      <c r="G317" s="5"/>
      <c r="H317" s="5"/>
      <c r="K317" s="5"/>
    </row>
    <row r="318" spans="7:11" x14ac:dyDescent="0.35">
      <c r="G318" s="5"/>
      <c r="H318" s="5"/>
      <c r="K318" s="5"/>
    </row>
    <row r="319" spans="7:11" x14ac:dyDescent="0.35">
      <c r="G319" s="5"/>
      <c r="H319" s="5"/>
      <c r="K319" s="5"/>
    </row>
    <row r="320" spans="7:11" x14ac:dyDescent="0.35">
      <c r="G320" s="5"/>
      <c r="H320" s="5"/>
      <c r="K320" s="5"/>
    </row>
    <row r="321" spans="7:11" x14ac:dyDescent="0.35">
      <c r="G321" s="5"/>
      <c r="H321" s="5"/>
      <c r="K321" s="5"/>
    </row>
    <row r="322" spans="7:11" x14ac:dyDescent="0.35">
      <c r="G322" s="5"/>
      <c r="H322" s="5"/>
      <c r="K322" s="5"/>
    </row>
    <row r="323" spans="7:11" x14ac:dyDescent="0.35">
      <c r="G323" s="5"/>
      <c r="H323" s="5"/>
      <c r="K323" s="5"/>
    </row>
    <row r="324" spans="7:11" x14ac:dyDescent="0.35">
      <c r="G324" s="5"/>
      <c r="H324" s="5"/>
      <c r="K324" s="5"/>
    </row>
    <row r="325" spans="7:11" x14ac:dyDescent="0.35">
      <c r="G325" s="5"/>
      <c r="H325" s="5"/>
      <c r="K325" s="5"/>
    </row>
    <row r="326" spans="7:11" x14ac:dyDescent="0.35">
      <c r="G326" s="5"/>
      <c r="H326" s="5"/>
      <c r="K326" s="5"/>
    </row>
    <row r="327" spans="7:11" x14ac:dyDescent="0.35">
      <c r="G327" s="5"/>
      <c r="H327" s="5"/>
      <c r="K327" s="5"/>
    </row>
    <row r="328" spans="7:11" x14ac:dyDescent="0.35">
      <c r="G328" s="5"/>
      <c r="H328" s="5"/>
      <c r="K328" s="5"/>
    </row>
    <row r="329" spans="7:11" x14ac:dyDescent="0.35">
      <c r="G329" s="5"/>
      <c r="H329" s="5"/>
      <c r="K329" s="5"/>
    </row>
    <row r="330" spans="7:11" x14ac:dyDescent="0.35">
      <c r="G330" s="5"/>
      <c r="H330" s="5"/>
      <c r="K330" s="5"/>
    </row>
    <row r="331" spans="7:11" x14ac:dyDescent="0.35">
      <c r="G331" s="5"/>
      <c r="H331" s="5"/>
      <c r="K331" s="5"/>
    </row>
    <row r="332" spans="7:11" x14ac:dyDescent="0.35">
      <c r="G332" s="5"/>
      <c r="H332" s="5"/>
      <c r="K332" s="5"/>
    </row>
    <row r="333" spans="7:11" x14ac:dyDescent="0.35">
      <c r="G333" s="5"/>
      <c r="H333" s="5"/>
      <c r="K333" s="5"/>
    </row>
    <row r="334" spans="7:11" x14ac:dyDescent="0.35">
      <c r="G334" s="5"/>
      <c r="H334" s="5"/>
      <c r="K334" s="5"/>
    </row>
    <row r="335" spans="7:11" x14ac:dyDescent="0.35">
      <c r="G335" s="5"/>
      <c r="H335" s="5"/>
      <c r="K335" s="5"/>
    </row>
    <row r="336" spans="7:11" x14ac:dyDescent="0.35">
      <c r="G336" s="5"/>
      <c r="H336" s="5"/>
      <c r="K336" s="5"/>
    </row>
    <row r="337" spans="7:11" x14ac:dyDescent="0.35">
      <c r="G337" s="5"/>
      <c r="H337" s="5"/>
      <c r="K337" s="5"/>
    </row>
    <row r="338" spans="7:11" x14ac:dyDescent="0.35">
      <c r="G338" s="5"/>
      <c r="H338" s="5"/>
      <c r="K338" s="5"/>
    </row>
    <row r="339" spans="7:11" x14ac:dyDescent="0.35">
      <c r="G339" s="5"/>
      <c r="H339" s="5"/>
      <c r="K339" s="5"/>
    </row>
    <row r="340" spans="7:11" x14ac:dyDescent="0.35">
      <c r="G340" s="5"/>
      <c r="H340" s="5"/>
      <c r="K340" s="5"/>
    </row>
    <row r="341" spans="7:11" x14ac:dyDescent="0.35">
      <c r="G341" s="5"/>
      <c r="H341" s="5"/>
      <c r="K341" s="5"/>
    </row>
    <row r="342" spans="7:11" x14ac:dyDescent="0.35">
      <c r="G342" s="5"/>
      <c r="H342" s="5"/>
      <c r="K342" s="5"/>
    </row>
    <row r="343" spans="7:11" x14ac:dyDescent="0.35">
      <c r="G343" s="5"/>
      <c r="H343" s="5"/>
      <c r="K343" s="5"/>
    </row>
    <row r="344" spans="7:11" x14ac:dyDescent="0.35">
      <c r="G344" s="5"/>
      <c r="H344" s="5"/>
      <c r="K344" s="5"/>
    </row>
    <row r="345" spans="7:11" x14ac:dyDescent="0.35">
      <c r="G345" s="5"/>
      <c r="H345" s="5"/>
      <c r="K345" s="5"/>
    </row>
    <row r="346" spans="7:11" x14ac:dyDescent="0.35">
      <c r="G346" s="5"/>
      <c r="H346" s="5"/>
      <c r="K346" s="5"/>
    </row>
    <row r="347" spans="7:11" x14ac:dyDescent="0.35">
      <c r="G347" s="5"/>
      <c r="H347" s="5"/>
      <c r="K347" s="5"/>
    </row>
    <row r="348" spans="7:11" x14ac:dyDescent="0.35">
      <c r="G348" s="5"/>
      <c r="H348" s="5"/>
      <c r="K348" s="5"/>
    </row>
    <row r="349" spans="7:11" x14ac:dyDescent="0.35">
      <c r="G349" s="5"/>
      <c r="H349" s="5"/>
      <c r="K349" s="5"/>
    </row>
    <row r="350" spans="7:11" x14ac:dyDescent="0.35">
      <c r="G350" s="5"/>
      <c r="H350" s="5"/>
      <c r="K350" s="5"/>
    </row>
    <row r="351" spans="7:11" x14ac:dyDescent="0.35">
      <c r="G351" s="5"/>
      <c r="H351" s="5"/>
      <c r="K351" s="5"/>
    </row>
    <row r="352" spans="7:11" x14ac:dyDescent="0.35">
      <c r="G352" s="5"/>
      <c r="H352" s="5"/>
      <c r="K352" s="5"/>
    </row>
    <row r="353" spans="7:11" x14ac:dyDescent="0.35">
      <c r="G353" s="5"/>
      <c r="H353" s="5"/>
      <c r="K353" s="5"/>
    </row>
    <row r="354" spans="7:11" x14ac:dyDescent="0.35">
      <c r="G354" s="5"/>
      <c r="H354" s="5"/>
      <c r="K354" s="5"/>
    </row>
    <row r="355" spans="7:11" x14ac:dyDescent="0.35">
      <c r="G355" s="5"/>
      <c r="H355" s="5"/>
      <c r="K355" s="5"/>
    </row>
    <row r="356" spans="7:11" x14ac:dyDescent="0.35">
      <c r="G356" s="5"/>
      <c r="H356" s="5"/>
      <c r="K356" s="5"/>
    </row>
    <row r="357" spans="7:11" x14ac:dyDescent="0.35">
      <c r="G357" s="5"/>
      <c r="H357" s="5"/>
      <c r="K357" s="5"/>
    </row>
    <row r="358" spans="7:11" x14ac:dyDescent="0.35">
      <c r="G358" s="5"/>
      <c r="H358" s="5"/>
      <c r="K358" s="5"/>
    </row>
    <row r="359" spans="7:11" x14ac:dyDescent="0.35">
      <c r="G359" s="5"/>
      <c r="H359" s="5"/>
      <c r="K359" s="5"/>
    </row>
    <row r="360" spans="7:11" x14ac:dyDescent="0.35">
      <c r="G360" s="5"/>
      <c r="H360" s="5"/>
      <c r="K360" s="5"/>
    </row>
    <row r="361" spans="7:11" x14ac:dyDescent="0.35">
      <c r="G361" s="5"/>
      <c r="H361" s="5"/>
      <c r="K361" s="5"/>
    </row>
    <row r="362" spans="7:11" x14ac:dyDescent="0.35">
      <c r="G362" s="5"/>
      <c r="H362" s="5"/>
      <c r="K362" s="5"/>
    </row>
    <row r="363" spans="7:11" x14ac:dyDescent="0.35">
      <c r="G363" s="5"/>
      <c r="H363" s="5"/>
      <c r="K363" s="5"/>
    </row>
    <row r="364" spans="7:11" x14ac:dyDescent="0.35">
      <c r="G364" s="5"/>
      <c r="H364" s="5"/>
      <c r="K364" s="5"/>
    </row>
    <row r="365" spans="7:11" x14ac:dyDescent="0.35">
      <c r="G365" s="5"/>
      <c r="H365" s="5"/>
      <c r="K365" s="5"/>
    </row>
    <row r="366" spans="7:11" x14ac:dyDescent="0.35">
      <c r="G366" s="5"/>
      <c r="H366" s="5"/>
      <c r="K366" s="5"/>
    </row>
    <row r="367" spans="7:11" x14ac:dyDescent="0.35">
      <c r="G367" s="5"/>
      <c r="H367" s="5"/>
      <c r="K367" s="5"/>
    </row>
    <row r="368" spans="7:11" x14ac:dyDescent="0.35">
      <c r="G368" s="5"/>
      <c r="H368" s="5"/>
      <c r="K368" s="5"/>
    </row>
    <row r="369" spans="7:11" x14ac:dyDescent="0.35">
      <c r="G369" s="5"/>
      <c r="H369" s="5"/>
      <c r="K369" s="5"/>
    </row>
    <row r="370" spans="7:11" x14ac:dyDescent="0.35">
      <c r="G370" s="5"/>
      <c r="H370" s="5"/>
      <c r="K370" s="5"/>
    </row>
    <row r="371" spans="7:11" x14ac:dyDescent="0.35">
      <c r="G371" s="5"/>
      <c r="H371" s="5"/>
      <c r="K371" s="5"/>
    </row>
    <row r="372" spans="7:11" x14ac:dyDescent="0.35">
      <c r="G372" s="5"/>
      <c r="H372" s="5"/>
      <c r="K372" s="5"/>
    </row>
    <row r="373" spans="7:11" x14ac:dyDescent="0.35">
      <c r="G373" s="5"/>
      <c r="H373" s="5"/>
      <c r="K373" s="5"/>
    </row>
    <row r="374" spans="7:11" x14ac:dyDescent="0.35">
      <c r="G374" s="5"/>
      <c r="H374" s="5"/>
      <c r="K374" s="5"/>
    </row>
    <row r="375" spans="7:11" x14ac:dyDescent="0.35">
      <c r="G375" s="5"/>
      <c r="H375" s="5"/>
      <c r="K375" s="5"/>
    </row>
    <row r="376" spans="7:11" x14ac:dyDescent="0.35">
      <c r="G376" s="5"/>
      <c r="H376" s="5"/>
      <c r="K376" s="5"/>
    </row>
    <row r="377" spans="7:11" x14ac:dyDescent="0.35">
      <c r="G377" s="5"/>
      <c r="H377" s="5"/>
      <c r="K377" s="5"/>
    </row>
    <row r="378" spans="7:11" x14ac:dyDescent="0.35">
      <c r="G378" s="5"/>
      <c r="H378" s="5"/>
      <c r="K378" s="5"/>
    </row>
    <row r="379" spans="7:11" x14ac:dyDescent="0.35">
      <c r="G379" s="5"/>
      <c r="H379" s="5"/>
      <c r="K379" s="5"/>
    </row>
    <row r="380" spans="7:11" x14ac:dyDescent="0.35">
      <c r="G380" s="5"/>
      <c r="H380" s="5"/>
      <c r="K380" s="5"/>
    </row>
    <row r="381" spans="7:11" x14ac:dyDescent="0.35">
      <c r="G381" s="5"/>
      <c r="H381" s="5"/>
      <c r="K381" s="5"/>
    </row>
    <row r="382" spans="7:11" x14ac:dyDescent="0.35">
      <c r="G382" s="5"/>
      <c r="H382" s="5"/>
      <c r="K382" s="5"/>
    </row>
    <row r="383" spans="7:11" x14ac:dyDescent="0.35">
      <c r="G383" s="5"/>
      <c r="H383" s="5"/>
      <c r="K383" s="5"/>
    </row>
    <row r="384" spans="7:11" x14ac:dyDescent="0.35">
      <c r="G384" s="5"/>
      <c r="H384" s="5"/>
      <c r="K384" s="5"/>
    </row>
    <row r="385" spans="7:11" x14ac:dyDescent="0.35">
      <c r="G385" s="5"/>
      <c r="H385" s="5"/>
      <c r="K385" s="5"/>
    </row>
    <row r="386" spans="7:11" x14ac:dyDescent="0.35">
      <c r="G386" s="5"/>
      <c r="H386" s="5"/>
      <c r="K386" s="5"/>
    </row>
    <row r="387" spans="7:11" x14ac:dyDescent="0.35">
      <c r="G387" s="5"/>
      <c r="H387" s="5"/>
      <c r="K387" s="5"/>
    </row>
    <row r="388" spans="7:11" x14ac:dyDescent="0.35">
      <c r="G388" s="5"/>
      <c r="H388" s="5"/>
      <c r="K388" s="5"/>
    </row>
    <row r="389" spans="7:11" x14ac:dyDescent="0.35">
      <c r="G389" s="5"/>
      <c r="H389" s="5"/>
      <c r="K389" s="5"/>
    </row>
    <row r="390" spans="7:11" x14ac:dyDescent="0.35">
      <c r="G390" s="5"/>
      <c r="H390" s="5"/>
      <c r="K390" s="5"/>
    </row>
    <row r="391" spans="7:11" x14ac:dyDescent="0.35">
      <c r="G391" s="5"/>
      <c r="H391" s="5"/>
      <c r="K391" s="5"/>
    </row>
    <row r="392" spans="7:11" x14ac:dyDescent="0.35">
      <c r="G392" s="5"/>
      <c r="H392" s="5"/>
      <c r="K392" s="5"/>
    </row>
    <row r="393" spans="7:11" x14ac:dyDescent="0.35">
      <c r="G393" s="5"/>
      <c r="H393" s="5"/>
      <c r="K393" s="5"/>
    </row>
    <row r="394" spans="7:11" x14ac:dyDescent="0.35">
      <c r="G394" s="5"/>
      <c r="H394" s="5"/>
      <c r="K394" s="5"/>
    </row>
    <row r="395" spans="7:11" x14ac:dyDescent="0.35">
      <c r="G395" s="5"/>
      <c r="H395" s="5"/>
      <c r="K395" s="5"/>
    </row>
    <row r="396" spans="7:11" x14ac:dyDescent="0.35">
      <c r="G396" s="5"/>
      <c r="H396" s="5"/>
      <c r="K396" s="5"/>
    </row>
    <row r="397" spans="7:11" x14ac:dyDescent="0.35">
      <c r="G397" s="5"/>
      <c r="H397" s="5"/>
      <c r="K397" s="5"/>
    </row>
    <row r="398" spans="7:11" x14ac:dyDescent="0.35">
      <c r="G398" s="5"/>
      <c r="H398" s="5"/>
      <c r="K398" s="5"/>
    </row>
    <row r="399" spans="7:11" x14ac:dyDescent="0.35">
      <c r="G399" s="5"/>
      <c r="H399" s="5"/>
      <c r="K399" s="5"/>
    </row>
    <row r="400" spans="7:11" x14ac:dyDescent="0.35">
      <c r="G400" s="5"/>
      <c r="H400" s="5"/>
      <c r="K400" s="5"/>
    </row>
    <row r="401" spans="7:11" x14ac:dyDescent="0.35">
      <c r="G401" s="5"/>
      <c r="H401" s="5"/>
      <c r="K401" s="5"/>
    </row>
    <row r="402" spans="7:11" x14ac:dyDescent="0.35">
      <c r="G402" s="5"/>
      <c r="H402" s="5"/>
      <c r="K402" s="5"/>
    </row>
    <row r="403" spans="7:11" x14ac:dyDescent="0.35">
      <c r="G403" s="5"/>
      <c r="H403" s="5"/>
      <c r="K403" s="5"/>
    </row>
    <row r="404" spans="7:11" x14ac:dyDescent="0.35">
      <c r="G404" s="5"/>
      <c r="H404" s="5"/>
      <c r="K404" s="5"/>
    </row>
    <row r="405" spans="7:11" x14ac:dyDescent="0.35">
      <c r="G405" s="5"/>
      <c r="H405" s="5"/>
      <c r="K405" s="5"/>
    </row>
    <row r="406" spans="7:11" x14ac:dyDescent="0.35">
      <c r="G406" s="5"/>
      <c r="H406" s="5"/>
      <c r="K406" s="5"/>
    </row>
    <row r="407" spans="7:11" x14ac:dyDescent="0.35">
      <c r="G407" s="5"/>
      <c r="H407" s="5"/>
      <c r="K407" s="5"/>
    </row>
    <row r="408" spans="7:11" x14ac:dyDescent="0.35">
      <c r="G408" s="5"/>
      <c r="H408" s="5"/>
      <c r="K408" s="5"/>
    </row>
    <row r="409" spans="7:11" x14ac:dyDescent="0.35">
      <c r="G409" s="5"/>
      <c r="H409" s="5"/>
      <c r="K409" s="5"/>
    </row>
    <row r="410" spans="7:11" x14ac:dyDescent="0.35">
      <c r="G410" s="5"/>
      <c r="H410" s="5"/>
      <c r="K410" s="5"/>
    </row>
    <row r="411" spans="7:11" x14ac:dyDescent="0.35">
      <c r="G411" s="5"/>
      <c r="H411" s="5"/>
      <c r="K411" s="5"/>
    </row>
    <row r="412" spans="7:11" x14ac:dyDescent="0.35">
      <c r="G412" s="5"/>
      <c r="H412" s="5"/>
      <c r="K412" s="5"/>
    </row>
    <row r="413" spans="7:11" x14ac:dyDescent="0.35">
      <c r="G413" s="5"/>
      <c r="H413" s="5"/>
      <c r="K413" s="5"/>
    </row>
    <row r="414" spans="7:11" x14ac:dyDescent="0.35">
      <c r="G414" s="5"/>
      <c r="H414" s="5"/>
      <c r="K414" s="5"/>
    </row>
    <row r="415" spans="7:11" x14ac:dyDescent="0.35">
      <c r="G415" s="5"/>
      <c r="H415" s="5"/>
      <c r="K415" s="5"/>
    </row>
    <row r="416" spans="7:11" x14ac:dyDescent="0.35">
      <c r="G416" s="5"/>
      <c r="H416" s="5"/>
      <c r="K416" s="5"/>
    </row>
    <row r="417" spans="7:11" x14ac:dyDescent="0.35">
      <c r="G417" s="5"/>
      <c r="H417" s="5"/>
      <c r="K417" s="5"/>
    </row>
    <row r="418" spans="7:11" x14ac:dyDescent="0.35">
      <c r="G418" s="5"/>
      <c r="H418" s="5"/>
      <c r="K418" s="5"/>
    </row>
    <row r="419" spans="7:11" x14ac:dyDescent="0.35">
      <c r="G419" s="5"/>
      <c r="H419" s="5"/>
      <c r="K419" s="5"/>
    </row>
    <row r="420" spans="7:11" x14ac:dyDescent="0.35">
      <c r="G420" s="5"/>
      <c r="H420" s="5"/>
      <c r="K420" s="5"/>
    </row>
    <row r="421" spans="7:11" x14ac:dyDescent="0.35">
      <c r="G421" s="5"/>
      <c r="H421" s="5"/>
      <c r="K421" s="5"/>
    </row>
    <row r="422" spans="7:11" x14ac:dyDescent="0.35">
      <c r="G422" s="5"/>
      <c r="H422" s="5"/>
      <c r="K422" s="5"/>
    </row>
    <row r="423" spans="7:11" x14ac:dyDescent="0.35">
      <c r="G423" s="5"/>
      <c r="H423" s="5"/>
      <c r="K423" s="5"/>
    </row>
    <row r="424" spans="7:11" x14ac:dyDescent="0.35">
      <c r="G424" s="5"/>
      <c r="H424" s="5"/>
      <c r="K424" s="5"/>
    </row>
    <row r="425" spans="7:11" x14ac:dyDescent="0.35">
      <c r="G425" s="5"/>
      <c r="H425" s="5"/>
      <c r="K425" s="5"/>
    </row>
    <row r="426" spans="7:11" x14ac:dyDescent="0.35">
      <c r="G426" s="5"/>
      <c r="H426" s="5"/>
      <c r="K426" s="5"/>
    </row>
    <row r="427" spans="7:11" x14ac:dyDescent="0.35">
      <c r="G427" s="5"/>
      <c r="H427" s="5"/>
      <c r="K427" s="5"/>
    </row>
    <row r="428" spans="7:11" x14ac:dyDescent="0.35">
      <c r="G428" s="5"/>
      <c r="H428" s="5"/>
      <c r="K428" s="5"/>
    </row>
    <row r="429" spans="7:11" x14ac:dyDescent="0.35">
      <c r="G429" s="5"/>
      <c r="H429" s="5"/>
      <c r="K429" s="5"/>
    </row>
    <row r="430" spans="7:11" x14ac:dyDescent="0.35">
      <c r="G430" s="5"/>
      <c r="H430" s="5"/>
      <c r="K430" s="5"/>
    </row>
    <row r="431" spans="7:11" x14ac:dyDescent="0.35">
      <c r="G431" s="5"/>
      <c r="H431" s="5"/>
      <c r="K431" s="5"/>
    </row>
    <row r="432" spans="7:11" x14ac:dyDescent="0.35">
      <c r="G432" s="5"/>
      <c r="H432" s="5"/>
      <c r="K432" s="5"/>
    </row>
    <row r="433" spans="7:11" x14ac:dyDescent="0.35">
      <c r="G433" s="5"/>
      <c r="H433" s="5"/>
      <c r="K433" s="5"/>
    </row>
    <row r="434" spans="7:11" x14ac:dyDescent="0.35">
      <c r="G434" s="5"/>
      <c r="H434" s="5"/>
      <c r="K434" s="5"/>
    </row>
    <row r="435" spans="7:11" x14ac:dyDescent="0.35">
      <c r="G435" s="5"/>
      <c r="H435" s="5"/>
      <c r="K435" s="5"/>
    </row>
    <row r="436" spans="7:11" x14ac:dyDescent="0.35">
      <c r="G436" s="5"/>
      <c r="H436" s="5"/>
      <c r="K436" s="5"/>
    </row>
    <row r="437" spans="7:11" x14ac:dyDescent="0.35">
      <c r="G437" s="5"/>
      <c r="H437" s="5"/>
      <c r="K437" s="5"/>
    </row>
    <row r="438" spans="7:11" x14ac:dyDescent="0.35">
      <c r="G438" s="5"/>
      <c r="H438" s="5"/>
      <c r="K438" s="5"/>
    </row>
    <row r="439" spans="7:11" x14ac:dyDescent="0.35">
      <c r="G439" s="5"/>
      <c r="H439" s="5"/>
      <c r="K439" s="5"/>
    </row>
    <row r="440" spans="7:11" x14ac:dyDescent="0.35">
      <c r="G440" s="5"/>
      <c r="H440" s="5"/>
      <c r="K440" s="5"/>
    </row>
    <row r="441" spans="7:11" x14ac:dyDescent="0.35">
      <c r="G441" s="5"/>
      <c r="H441" s="5"/>
      <c r="K441" s="5"/>
    </row>
    <row r="442" spans="7:11" x14ac:dyDescent="0.35">
      <c r="G442" s="5"/>
      <c r="H442" s="5"/>
      <c r="K442" s="5"/>
    </row>
    <row r="443" spans="7:11" x14ac:dyDescent="0.35">
      <c r="G443" s="5"/>
      <c r="H443" s="5"/>
      <c r="K443" s="5"/>
    </row>
    <row r="444" spans="7:11" x14ac:dyDescent="0.35">
      <c r="G444" s="5"/>
      <c r="H444" s="5"/>
      <c r="K444" s="5"/>
    </row>
    <row r="445" spans="7:11" x14ac:dyDescent="0.35">
      <c r="G445" s="5"/>
      <c r="H445" s="5"/>
      <c r="K445" s="5"/>
    </row>
    <row r="446" spans="7:11" x14ac:dyDescent="0.35">
      <c r="G446" s="5"/>
      <c r="H446" s="5"/>
      <c r="K446" s="5"/>
    </row>
    <row r="447" spans="7:11" x14ac:dyDescent="0.35">
      <c r="G447" s="5"/>
      <c r="H447" s="5"/>
      <c r="K447" s="5"/>
    </row>
    <row r="448" spans="7:11" x14ac:dyDescent="0.35">
      <c r="G448" s="5"/>
      <c r="H448" s="5"/>
      <c r="K448" s="5"/>
    </row>
    <row r="449" spans="7:11" x14ac:dyDescent="0.35">
      <c r="G449" s="5"/>
      <c r="H449" s="5"/>
      <c r="K449" s="5"/>
    </row>
    <row r="450" spans="7:11" x14ac:dyDescent="0.35">
      <c r="G450" s="5"/>
      <c r="H450" s="5"/>
      <c r="K450" s="5"/>
    </row>
    <row r="451" spans="7:11" x14ac:dyDescent="0.35">
      <c r="G451" s="5"/>
      <c r="H451" s="5"/>
      <c r="K451" s="5"/>
    </row>
    <row r="452" spans="7:11" x14ac:dyDescent="0.35">
      <c r="G452" s="5"/>
      <c r="H452" s="5"/>
      <c r="K452" s="5"/>
    </row>
    <row r="453" spans="7:11" x14ac:dyDescent="0.35">
      <c r="G453" s="5"/>
      <c r="H453" s="5"/>
      <c r="K453" s="5"/>
    </row>
    <row r="454" spans="7:11" x14ac:dyDescent="0.35">
      <c r="G454" s="5"/>
      <c r="H454" s="5"/>
      <c r="K454" s="5"/>
    </row>
    <row r="455" spans="7:11" x14ac:dyDescent="0.35">
      <c r="G455" s="5"/>
      <c r="H455" s="5"/>
      <c r="K455" s="5"/>
    </row>
    <row r="456" spans="7:11" x14ac:dyDescent="0.35">
      <c r="G456" s="5"/>
      <c r="H456" s="5"/>
      <c r="K456" s="5"/>
    </row>
    <row r="457" spans="7:11" x14ac:dyDescent="0.35">
      <c r="G457" s="5"/>
      <c r="H457" s="5"/>
      <c r="K457" s="5"/>
    </row>
    <row r="458" spans="7:11" x14ac:dyDescent="0.35">
      <c r="G458" s="5"/>
      <c r="H458" s="5"/>
      <c r="K458" s="5"/>
    </row>
    <row r="459" spans="7:11" x14ac:dyDescent="0.35">
      <c r="G459" s="5"/>
      <c r="H459" s="5"/>
      <c r="K459" s="5"/>
    </row>
    <row r="460" spans="7:11" x14ac:dyDescent="0.35">
      <c r="G460" s="5"/>
      <c r="H460" s="5"/>
      <c r="K460" s="5"/>
    </row>
    <row r="461" spans="7:11" x14ac:dyDescent="0.35">
      <c r="G461" s="5"/>
      <c r="H461" s="5"/>
      <c r="K461" s="5"/>
    </row>
    <row r="462" spans="7:11" x14ac:dyDescent="0.35">
      <c r="G462" s="5"/>
      <c r="H462" s="5"/>
      <c r="K462" s="5"/>
    </row>
    <row r="463" spans="7:11" x14ac:dyDescent="0.35">
      <c r="G463" s="5"/>
      <c r="H463" s="5"/>
      <c r="K463" s="5"/>
    </row>
    <row r="464" spans="7:11" x14ac:dyDescent="0.35">
      <c r="G464" s="5"/>
      <c r="H464" s="5"/>
      <c r="K464" s="5"/>
    </row>
    <row r="465" spans="7:11" x14ac:dyDescent="0.35">
      <c r="G465" s="5"/>
      <c r="H465" s="5"/>
      <c r="K465" s="5"/>
    </row>
    <row r="466" spans="7:11" x14ac:dyDescent="0.35">
      <c r="G466" s="5"/>
      <c r="H466" s="5"/>
      <c r="K466" s="5"/>
    </row>
    <row r="467" spans="7:11" x14ac:dyDescent="0.35">
      <c r="G467" s="5"/>
      <c r="H467" s="5"/>
      <c r="K467" s="5"/>
    </row>
    <row r="468" spans="7:11" x14ac:dyDescent="0.35">
      <c r="G468" s="5"/>
      <c r="H468" s="5"/>
      <c r="K468" s="5"/>
    </row>
    <row r="469" spans="7:11" x14ac:dyDescent="0.35">
      <c r="G469" s="5"/>
      <c r="H469" s="5"/>
      <c r="K469" s="5"/>
    </row>
    <row r="470" spans="7:11" x14ac:dyDescent="0.35">
      <c r="G470" s="5"/>
      <c r="H470" s="5"/>
      <c r="K470" s="5"/>
    </row>
    <row r="471" spans="7:11" x14ac:dyDescent="0.35">
      <c r="G471" s="5"/>
      <c r="H471" s="5"/>
      <c r="K471" s="5"/>
    </row>
    <row r="472" spans="7:11" x14ac:dyDescent="0.35">
      <c r="G472" s="5"/>
      <c r="H472" s="5"/>
      <c r="K472" s="5"/>
    </row>
    <row r="473" spans="7:11" x14ac:dyDescent="0.35">
      <c r="G473" s="5"/>
      <c r="H473" s="5"/>
      <c r="K473" s="5"/>
    </row>
    <row r="474" spans="7:11" x14ac:dyDescent="0.35">
      <c r="G474" s="5"/>
      <c r="H474" s="5"/>
      <c r="K474" s="5"/>
    </row>
    <row r="475" spans="7:11" x14ac:dyDescent="0.35">
      <c r="G475" s="5"/>
      <c r="H475" s="5"/>
      <c r="K475" s="5"/>
    </row>
    <row r="476" spans="7:11" x14ac:dyDescent="0.35">
      <c r="G476" s="5"/>
      <c r="H476" s="5"/>
      <c r="K476" s="5"/>
    </row>
    <row r="477" spans="7:11" x14ac:dyDescent="0.35">
      <c r="G477" s="5"/>
      <c r="H477" s="5"/>
      <c r="K477" s="5"/>
    </row>
    <row r="478" spans="7:11" x14ac:dyDescent="0.35">
      <c r="G478" s="5"/>
      <c r="H478" s="5"/>
      <c r="K478" s="5"/>
    </row>
    <row r="479" spans="7:11" x14ac:dyDescent="0.35">
      <c r="G479" s="5"/>
      <c r="H479" s="5"/>
      <c r="K479" s="5"/>
    </row>
    <row r="480" spans="7:11" x14ac:dyDescent="0.35">
      <c r="G480" s="5"/>
      <c r="H480" s="5"/>
      <c r="K480" s="5"/>
    </row>
    <row r="481" spans="7:11" x14ac:dyDescent="0.35">
      <c r="G481" s="5"/>
      <c r="H481" s="5"/>
      <c r="K481" s="5"/>
    </row>
    <row r="482" spans="7:11" x14ac:dyDescent="0.35">
      <c r="G482" s="5"/>
      <c r="H482" s="5"/>
      <c r="K482" s="5"/>
    </row>
    <row r="483" spans="7:11" x14ac:dyDescent="0.35">
      <c r="G483" s="5"/>
      <c r="H483" s="5"/>
      <c r="K483" s="5"/>
    </row>
    <row r="484" spans="7:11" x14ac:dyDescent="0.35">
      <c r="G484" s="5"/>
      <c r="H484" s="5"/>
      <c r="K484" s="5"/>
    </row>
    <row r="485" spans="7:11" x14ac:dyDescent="0.35">
      <c r="G485" s="5"/>
      <c r="H485" s="5"/>
      <c r="K485" s="5"/>
    </row>
    <row r="486" spans="7:11" x14ac:dyDescent="0.35">
      <c r="G486" s="5"/>
      <c r="H486" s="5"/>
      <c r="K486" s="5"/>
    </row>
    <row r="487" spans="7:11" x14ac:dyDescent="0.35">
      <c r="G487" s="5"/>
      <c r="H487" s="5"/>
      <c r="K487" s="5"/>
    </row>
    <row r="488" spans="7:11" x14ac:dyDescent="0.35">
      <c r="G488" s="5"/>
      <c r="H488" s="5"/>
      <c r="K488" s="5"/>
    </row>
    <row r="489" spans="7:11" x14ac:dyDescent="0.35">
      <c r="G489" s="5"/>
      <c r="H489" s="5"/>
      <c r="K489" s="5"/>
    </row>
    <row r="490" spans="7:11" x14ac:dyDescent="0.35">
      <c r="G490" s="5"/>
      <c r="H490" s="5"/>
      <c r="K490" s="5"/>
    </row>
    <row r="491" spans="7:11" x14ac:dyDescent="0.35">
      <c r="G491" s="5"/>
      <c r="H491" s="5"/>
      <c r="K491" s="5"/>
    </row>
    <row r="492" spans="7:11" x14ac:dyDescent="0.35">
      <c r="G492" s="5"/>
      <c r="H492" s="5"/>
      <c r="K492" s="5"/>
    </row>
    <row r="493" spans="7:11" x14ac:dyDescent="0.35">
      <c r="G493" s="5"/>
      <c r="H493" s="5"/>
      <c r="K493" s="5"/>
    </row>
    <row r="494" spans="7:11" x14ac:dyDescent="0.35">
      <c r="G494" s="5"/>
      <c r="H494" s="5"/>
      <c r="K494" s="5"/>
    </row>
    <row r="495" spans="7:11" x14ac:dyDescent="0.35">
      <c r="G495" s="5"/>
      <c r="H495" s="5"/>
      <c r="K495" s="5"/>
    </row>
    <row r="496" spans="7:11" x14ac:dyDescent="0.35">
      <c r="G496" s="5"/>
      <c r="H496" s="5"/>
      <c r="K496" s="5"/>
    </row>
    <row r="497" spans="7:11" x14ac:dyDescent="0.35">
      <c r="G497" s="5"/>
      <c r="H497" s="5"/>
      <c r="K497" s="5"/>
    </row>
    <row r="498" spans="7:11" x14ac:dyDescent="0.35">
      <c r="G498" s="5"/>
      <c r="H498" s="5"/>
      <c r="K498" s="5"/>
    </row>
    <row r="499" spans="7:11" x14ac:dyDescent="0.35">
      <c r="G499" s="5"/>
      <c r="H499" s="5"/>
      <c r="K499" s="5"/>
    </row>
    <row r="500" spans="7:11" x14ac:dyDescent="0.35">
      <c r="G500" s="5"/>
      <c r="H500" s="5"/>
      <c r="K500" s="5"/>
    </row>
    <row r="501" spans="7:11" x14ac:dyDescent="0.35">
      <c r="G501" s="5"/>
      <c r="H501" s="5"/>
      <c r="K501" s="5"/>
    </row>
    <row r="502" spans="7:11" x14ac:dyDescent="0.35">
      <c r="G502" s="5"/>
      <c r="H502" s="5"/>
      <c r="K502" s="5"/>
    </row>
    <row r="503" spans="7:11" x14ac:dyDescent="0.35">
      <c r="G503" s="5"/>
      <c r="H503" s="5"/>
      <c r="K503" s="5"/>
    </row>
    <row r="504" spans="7:11" x14ac:dyDescent="0.35">
      <c r="G504" s="5"/>
      <c r="H504" s="5"/>
      <c r="K504" s="5"/>
    </row>
    <row r="505" spans="7:11" x14ac:dyDescent="0.35">
      <c r="G505" s="5"/>
      <c r="H505" s="5"/>
      <c r="K505" s="5"/>
    </row>
    <row r="506" spans="7:11" x14ac:dyDescent="0.35">
      <c r="G506" s="5"/>
      <c r="H506" s="5"/>
      <c r="K506" s="5"/>
    </row>
    <row r="507" spans="7:11" x14ac:dyDescent="0.35">
      <c r="G507" s="5"/>
      <c r="H507" s="5"/>
      <c r="K507" s="5"/>
    </row>
    <row r="508" spans="7:11" x14ac:dyDescent="0.35">
      <c r="G508" s="5"/>
      <c r="H508" s="5"/>
      <c r="K508" s="5"/>
    </row>
    <row r="509" spans="7:11" x14ac:dyDescent="0.35">
      <c r="G509" s="5"/>
      <c r="H509" s="5"/>
      <c r="K509" s="5"/>
    </row>
    <row r="510" spans="7:11" x14ac:dyDescent="0.35">
      <c r="G510" s="5"/>
      <c r="H510" s="5"/>
      <c r="K510" s="5"/>
    </row>
    <row r="511" spans="7:11" x14ac:dyDescent="0.35">
      <c r="G511" s="5"/>
      <c r="H511" s="5"/>
      <c r="K511" s="5"/>
    </row>
    <row r="512" spans="7:11" x14ac:dyDescent="0.35">
      <c r="G512" s="5"/>
      <c r="H512" s="5"/>
      <c r="K512" s="5"/>
    </row>
    <row r="513" spans="7:11" x14ac:dyDescent="0.35">
      <c r="G513" s="5"/>
      <c r="H513" s="5"/>
      <c r="K513" s="5"/>
    </row>
    <row r="514" spans="7:11" x14ac:dyDescent="0.35">
      <c r="G514" s="5"/>
      <c r="H514" s="5"/>
      <c r="K514" s="5"/>
    </row>
    <row r="515" spans="7:11" x14ac:dyDescent="0.35">
      <c r="G515" s="5"/>
      <c r="H515" s="5"/>
      <c r="K515" s="5"/>
    </row>
    <row r="516" spans="7:11" x14ac:dyDescent="0.35">
      <c r="G516" s="5"/>
      <c r="H516" s="5"/>
      <c r="K516" s="5"/>
    </row>
    <row r="517" spans="7:11" x14ac:dyDescent="0.35">
      <c r="G517" s="5"/>
      <c r="H517" s="5"/>
      <c r="K517" s="5"/>
    </row>
    <row r="518" spans="7:11" x14ac:dyDescent="0.35">
      <c r="G518" s="5"/>
      <c r="H518" s="5"/>
      <c r="K518" s="5"/>
    </row>
    <row r="519" spans="7:11" x14ac:dyDescent="0.35">
      <c r="G519" s="5"/>
      <c r="H519" s="5"/>
      <c r="K519" s="5"/>
    </row>
    <row r="520" spans="7:11" x14ac:dyDescent="0.35">
      <c r="G520" s="5"/>
      <c r="H520" s="5"/>
      <c r="K520" s="5"/>
    </row>
    <row r="521" spans="7:11" x14ac:dyDescent="0.35">
      <c r="G521" s="5"/>
      <c r="H521" s="5"/>
      <c r="K521" s="5"/>
    </row>
    <row r="522" spans="7:11" x14ac:dyDescent="0.35">
      <c r="G522" s="5"/>
      <c r="H522" s="5"/>
      <c r="K522" s="5"/>
    </row>
    <row r="523" spans="7:11" x14ac:dyDescent="0.35">
      <c r="G523" s="5"/>
      <c r="H523" s="5"/>
      <c r="K523" s="5"/>
    </row>
    <row r="524" spans="7:11" x14ac:dyDescent="0.35">
      <c r="G524" s="5"/>
      <c r="H524" s="5"/>
      <c r="K524" s="5"/>
    </row>
    <row r="525" spans="7:11" x14ac:dyDescent="0.35">
      <c r="G525" s="5"/>
      <c r="H525" s="5"/>
      <c r="K525" s="5"/>
    </row>
    <row r="526" spans="7:11" x14ac:dyDescent="0.35">
      <c r="G526" s="5"/>
      <c r="H526" s="5"/>
      <c r="K526" s="5"/>
    </row>
    <row r="527" spans="7:11" x14ac:dyDescent="0.35">
      <c r="G527" s="5"/>
      <c r="H527" s="5"/>
      <c r="K527" s="5"/>
    </row>
    <row r="528" spans="7:11" x14ac:dyDescent="0.35">
      <c r="G528" s="5"/>
      <c r="H528" s="5"/>
      <c r="K528" s="5"/>
    </row>
    <row r="529" spans="7:11" x14ac:dyDescent="0.35">
      <c r="G529" s="5"/>
      <c r="H529" s="5"/>
      <c r="K529" s="5"/>
    </row>
    <row r="530" spans="7:11" x14ac:dyDescent="0.35">
      <c r="G530" s="5"/>
      <c r="H530" s="5"/>
      <c r="K530" s="5"/>
    </row>
    <row r="531" spans="7:11" x14ac:dyDescent="0.35">
      <c r="G531" s="5"/>
      <c r="H531" s="5"/>
      <c r="K531" s="5"/>
    </row>
    <row r="532" spans="7:11" x14ac:dyDescent="0.35">
      <c r="G532" s="5"/>
      <c r="H532" s="5"/>
      <c r="K532" s="5"/>
    </row>
    <row r="533" spans="7:11" x14ac:dyDescent="0.35">
      <c r="G533" s="5"/>
      <c r="H533" s="5"/>
      <c r="K533" s="5"/>
    </row>
    <row r="534" spans="7:11" x14ac:dyDescent="0.35">
      <c r="G534" s="5"/>
      <c r="H534" s="5"/>
      <c r="K534" s="5"/>
    </row>
    <row r="535" spans="7:11" x14ac:dyDescent="0.35">
      <c r="G535" s="5"/>
      <c r="H535" s="5"/>
      <c r="K535" s="5"/>
    </row>
    <row r="536" spans="7:11" x14ac:dyDescent="0.35">
      <c r="G536" s="5"/>
      <c r="H536" s="5"/>
      <c r="K536" s="5"/>
    </row>
    <row r="537" spans="7:11" x14ac:dyDescent="0.35">
      <c r="G537" s="5"/>
      <c r="H537" s="5"/>
      <c r="K537" s="5"/>
    </row>
    <row r="538" spans="7:11" x14ac:dyDescent="0.35">
      <c r="G538" s="5"/>
      <c r="H538" s="5"/>
      <c r="K538" s="5"/>
    </row>
    <row r="539" spans="7:11" x14ac:dyDescent="0.35">
      <c r="G539" s="5"/>
      <c r="H539" s="5"/>
      <c r="K539" s="5"/>
    </row>
    <row r="540" spans="7:11" x14ac:dyDescent="0.35">
      <c r="G540" s="5"/>
      <c r="H540" s="5"/>
      <c r="K540" s="5"/>
    </row>
    <row r="541" spans="7:11" x14ac:dyDescent="0.35">
      <c r="G541" s="5"/>
      <c r="H541" s="5"/>
      <c r="K541" s="5"/>
    </row>
    <row r="542" spans="7:11" x14ac:dyDescent="0.35">
      <c r="G542" s="5"/>
      <c r="H542" s="5"/>
      <c r="K542" s="5"/>
    </row>
    <row r="543" spans="7:11" x14ac:dyDescent="0.35">
      <c r="G543" s="5"/>
      <c r="H543" s="5"/>
      <c r="K543" s="5"/>
    </row>
    <row r="544" spans="7:11" x14ac:dyDescent="0.35">
      <c r="G544" s="5"/>
      <c r="H544" s="5"/>
      <c r="K544" s="5"/>
    </row>
    <row r="545" spans="7:11" x14ac:dyDescent="0.35">
      <c r="G545" s="5"/>
      <c r="H545" s="5"/>
      <c r="K545" s="5"/>
    </row>
    <row r="546" spans="7:11" x14ac:dyDescent="0.35">
      <c r="G546" s="5"/>
      <c r="H546" s="5"/>
      <c r="K546" s="5"/>
    </row>
    <row r="547" spans="7:11" x14ac:dyDescent="0.35">
      <c r="G547" s="5"/>
      <c r="H547" s="5"/>
      <c r="K547" s="5"/>
    </row>
    <row r="548" spans="7:11" x14ac:dyDescent="0.35">
      <c r="G548" s="5"/>
      <c r="H548" s="5"/>
      <c r="K548" s="5"/>
    </row>
    <row r="549" spans="7:11" x14ac:dyDescent="0.35">
      <c r="G549" s="5"/>
      <c r="H549" s="5"/>
      <c r="K549" s="5"/>
    </row>
    <row r="550" spans="7:11" x14ac:dyDescent="0.35">
      <c r="G550" s="5"/>
      <c r="H550" s="5"/>
      <c r="K550" s="5"/>
    </row>
    <row r="551" spans="7:11" x14ac:dyDescent="0.35">
      <c r="G551" s="5"/>
      <c r="H551" s="5"/>
      <c r="K551" s="5"/>
    </row>
    <row r="552" spans="7:11" x14ac:dyDescent="0.35">
      <c r="G552" s="5"/>
      <c r="H552" s="5"/>
      <c r="K552" s="5"/>
    </row>
    <row r="553" spans="7:11" x14ac:dyDescent="0.35">
      <c r="G553" s="5"/>
      <c r="H553" s="5"/>
      <c r="K553" s="5"/>
    </row>
    <row r="554" spans="7:11" x14ac:dyDescent="0.35">
      <c r="G554" s="5"/>
      <c r="H554" s="5"/>
      <c r="K554" s="5"/>
    </row>
    <row r="555" spans="7:11" x14ac:dyDescent="0.35">
      <c r="G555" s="5"/>
      <c r="H555" s="5"/>
      <c r="K555" s="5"/>
    </row>
    <row r="556" spans="7:11" x14ac:dyDescent="0.35">
      <c r="G556" s="5"/>
      <c r="H556" s="5"/>
      <c r="K556" s="5"/>
    </row>
    <row r="557" spans="7:11" x14ac:dyDescent="0.35">
      <c r="G557" s="5"/>
      <c r="H557" s="5"/>
      <c r="K557" s="5"/>
    </row>
    <row r="558" spans="7:11" x14ac:dyDescent="0.35">
      <c r="G558" s="5"/>
      <c r="H558" s="5"/>
      <c r="K558" s="5"/>
    </row>
    <row r="559" spans="7:11" x14ac:dyDescent="0.35">
      <c r="G559" s="5"/>
      <c r="H559" s="5"/>
      <c r="K559" s="5"/>
    </row>
    <row r="560" spans="7:11" x14ac:dyDescent="0.35">
      <c r="G560" s="5"/>
      <c r="H560" s="5"/>
      <c r="K560" s="5"/>
    </row>
    <row r="561" spans="7:11" x14ac:dyDescent="0.35">
      <c r="G561" s="5"/>
      <c r="H561" s="5"/>
      <c r="K561" s="5"/>
    </row>
    <row r="562" spans="7:11" x14ac:dyDescent="0.35">
      <c r="G562" s="5"/>
      <c r="H562" s="5"/>
      <c r="K562" s="5"/>
    </row>
    <row r="563" spans="7:11" x14ac:dyDescent="0.35">
      <c r="G563" s="5"/>
      <c r="H563" s="5"/>
      <c r="K563" s="5"/>
    </row>
    <row r="564" spans="7:11" x14ac:dyDescent="0.35">
      <c r="G564" s="5"/>
      <c r="H564" s="5"/>
      <c r="K564" s="5"/>
    </row>
    <row r="565" spans="7:11" x14ac:dyDescent="0.35">
      <c r="G565" s="5"/>
      <c r="H565" s="5"/>
      <c r="K565" s="5"/>
    </row>
    <row r="566" spans="7:11" x14ac:dyDescent="0.35">
      <c r="G566" s="5"/>
      <c r="H566" s="5"/>
      <c r="K566" s="5"/>
    </row>
    <row r="567" spans="7:11" x14ac:dyDescent="0.35">
      <c r="G567" s="5"/>
      <c r="H567" s="5"/>
      <c r="K567" s="5"/>
    </row>
    <row r="568" spans="7:11" x14ac:dyDescent="0.35">
      <c r="G568" s="5"/>
      <c r="H568" s="5"/>
      <c r="K568" s="5"/>
    </row>
    <row r="569" spans="7:11" x14ac:dyDescent="0.35">
      <c r="G569" s="5"/>
      <c r="H569" s="5"/>
      <c r="K569" s="5"/>
    </row>
    <row r="570" spans="7:11" x14ac:dyDescent="0.35">
      <c r="G570" s="5"/>
      <c r="H570" s="5"/>
      <c r="K570" s="5"/>
    </row>
    <row r="571" spans="7:11" x14ac:dyDescent="0.35">
      <c r="G571" s="5"/>
      <c r="H571" s="5"/>
      <c r="K571" s="5"/>
    </row>
    <row r="572" spans="7:11" x14ac:dyDescent="0.35">
      <c r="G572" s="5"/>
      <c r="H572" s="5"/>
      <c r="K572" s="5"/>
    </row>
    <row r="573" spans="7:11" x14ac:dyDescent="0.35">
      <c r="G573" s="5"/>
      <c r="H573" s="5"/>
      <c r="K573" s="5"/>
    </row>
    <row r="574" spans="7:11" x14ac:dyDescent="0.35">
      <c r="G574" s="5"/>
      <c r="H574" s="5"/>
      <c r="K574" s="5"/>
    </row>
    <row r="575" spans="7:11" x14ac:dyDescent="0.35">
      <c r="G575" s="5"/>
      <c r="H575" s="5"/>
      <c r="K575" s="5"/>
    </row>
    <row r="576" spans="7:11" x14ac:dyDescent="0.35">
      <c r="G576" s="5"/>
      <c r="H576" s="5"/>
      <c r="K576" s="5"/>
    </row>
    <row r="577" spans="7:11" x14ac:dyDescent="0.35">
      <c r="G577" s="5"/>
      <c r="H577" s="5"/>
      <c r="K577" s="5"/>
    </row>
    <row r="578" spans="7:11" x14ac:dyDescent="0.35">
      <c r="G578" s="5"/>
      <c r="H578" s="5"/>
      <c r="K578" s="5"/>
    </row>
    <row r="579" spans="7:11" x14ac:dyDescent="0.35">
      <c r="G579" s="5"/>
      <c r="H579" s="5"/>
      <c r="K579" s="5"/>
    </row>
    <row r="580" spans="7:11" x14ac:dyDescent="0.35">
      <c r="G580" s="5"/>
      <c r="H580" s="5"/>
      <c r="K580" s="5"/>
    </row>
    <row r="581" spans="7:11" x14ac:dyDescent="0.35">
      <c r="G581" s="5"/>
      <c r="H581" s="5"/>
      <c r="K581" s="5"/>
    </row>
    <row r="582" spans="7:11" x14ac:dyDescent="0.35">
      <c r="G582" s="5"/>
      <c r="H582" s="5"/>
      <c r="K582" s="5"/>
    </row>
    <row r="583" spans="7:11" x14ac:dyDescent="0.35">
      <c r="G583" s="5"/>
      <c r="H583" s="5"/>
      <c r="K583" s="5"/>
    </row>
    <row r="584" spans="7:11" x14ac:dyDescent="0.35">
      <c r="G584" s="5"/>
      <c r="H584" s="5"/>
      <c r="K584" s="5"/>
    </row>
    <row r="585" spans="7:11" x14ac:dyDescent="0.35">
      <c r="G585" s="5"/>
      <c r="H585" s="5"/>
      <c r="K585" s="5"/>
    </row>
    <row r="586" spans="7:11" x14ac:dyDescent="0.35">
      <c r="G586" s="5"/>
      <c r="H586" s="5"/>
      <c r="K586" s="5"/>
    </row>
    <row r="587" spans="7:11" x14ac:dyDescent="0.35">
      <c r="G587" s="5"/>
      <c r="H587" s="5"/>
      <c r="K587" s="5"/>
    </row>
    <row r="588" spans="7:11" x14ac:dyDescent="0.35">
      <c r="G588" s="5"/>
      <c r="H588" s="5"/>
      <c r="K588" s="5"/>
    </row>
    <row r="589" spans="7:11" x14ac:dyDescent="0.35">
      <c r="G589" s="5"/>
      <c r="H589" s="5"/>
      <c r="K589" s="5"/>
    </row>
    <row r="590" spans="7:11" x14ac:dyDescent="0.35">
      <c r="G590" s="5"/>
      <c r="H590" s="5"/>
      <c r="K590" s="5"/>
    </row>
    <row r="591" spans="7:11" x14ac:dyDescent="0.35">
      <c r="G591" s="5"/>
      <c r="H591" s="5"/>
      <c r="K591" s="5"/>
    </row>
    <row r="592" spans="7:11" x14ac:dyDescent="0.35">
      <c r="G592" s="5"/>
      <c r="H592" s="5"/>
      <c r="K592" s="5"/>
    </row>
    <row r="593" spans="7:11" x14ac:dyDescent="0.35">
      <c r="G593" s="5"/>
      <c r="H593" s="5"/>
      <c r="K593" s="5"/>
    </row>
    <row r="594" spans="7:11" x14ac:dyDescent="0.35">
      <c r="G594" s="5"/>
      <c r="H594" s="5"/>
      <c r="K594" s="5"/>
    </row>
    <row r="595" spans="7:11" x14ac:dyDescent="0.35">
      <c r="G595" s="5"/>
      <c r="H595" s="5"/>
      <c r="K595" s="5"/>
    </row>
    <row r="596" spans="7:11" x14ac:dyDescent="0.35">
      <c r="G596" s="5"/>
      <c r="H596" s="5"/>
      <c r="K596" s="5"/>
    </row>
    <row r="597" spans="7:11" x14ac:dyDescent="0.35">
      <c r="G597" s="5"/>
      <c r="H597" s="5"/>
      <c r="K597" s="5"/>
    </row>
    <row r="598" spans="7:11" x14ac:dyDescent="0.35">
      <c r="G598" s="5"/>
      <c r="H598" s="5"/>
      <c r="K598" s="5"/>
    </row>
    <row r="599" spans="7:11" x14ac:dyDescent="0.35">
      <c r="G599" s="5"/>
      <c r="H599" s="5"/>
      <c r="K599" s="5"/>
    </row>
    <row r="600" spans="7:11" x14ac:dyDescent="0.35">
      <c r="G600" s="5"/>
      <c r="H600" s="5"/>
      <c r="K600" s="5"/>
    </row>
    <row r="601" spans="7:11" x14ac:dyDescent="0.35">
      <c r="G601" s="5"/>
      <c r="H601" s="5"/>
      <c r="K601" s="5"/>
    </row>
    <row r="602" spans="7:11" x14ac:dyDescent="0.35">
      <c r="G602" s="5"/>
      <c r="H602" s="5"/>
      <c r="K602" s="5"/>
    </row>
    <row r="603" spans="7:11" x14ac:dyDescent="0.35">
      <c r="G603" s="5"/>
      <c r="H603" s="5"/>
      <c r="K603" s="5"/>
    </row>
    <row r="604" spans="7:11" x14ac:dyDescent="0.35">
      <c r="G604" s="5"/>
      <c r="H604" s="5"/>
      <c r="K604" s="5"/>
    </row>
    <row r="605" spans="7:11" x14ac:dyDescent="0.35">
      <c r="G605" s="5"/>
      <c r="H605" s="5"/>
      <c r="K605" s="5"/>
    </row>
    <row r="606" spans="7:11" x14ac:dyDescent="0.35">
      <c r="G606" s="5"/>
      <c r="H606" s="5"/>
      <c r="K606" s="5"/>
    </row>
    <row r="607" spans="7:11" x14ac:dyDescent="0.35">
      <c r="G607" s="5"/>
      <c r="H607" s="5"/>
      <c r="K607" s="5"/>
    </row>
    <row r="608" spans="7:11" x14ac:dyDescent="0.35">
      <c r="G608" s="5"/>
      <c r="H608" s="5"/>
      <c r="K608" s="5"/>
    </row>
    <row r="609" spans="7:11" x14ac:dyDescent="0.35">
      <c r="G609" s="5"/>
      <c r="H609" s="5"/>
      <c r="K609" s="5"/>
    </row>
    <row r="610" spans="7:11" x14ac:dyDescent="0.35">
      <c r="G610" s="5"/>
      <c r="H610" s="5"/>
      <c r="K610" s="5"/>
    </row>
    <row r="611" spans="7:11" x14ac:dyDescent="0.35">
      <c r="G611" s="5"/>
      <c r="H611" s="5"/>
      <c r="K611" s="5"/>
    </row>
    <row r="612" spans="7:11" x14ac:dyDescent="0.35">
      <c r="G612" s="5"/>
      <c r="H612" s="5"/>
      <c r="K612" s="5"/>
    </row>
    <row r="613" spans="7:11" x14ac:dyDescent="0.35">
      <c r="G613" s="5"/>
      <c r="H613" s="5"/>
      <c r="K613" s="5"/>
    </row>
    <row r="614" spans="7:11" x14ac:dyDescent="0.35">
      <c r="G614" s="5"/>
      <c r="H614" s="5"/>
      <c r="K614" s="5"/>
    </row>
    <row r="615" spans="7:11" x14ac:dyDescent="0.35">
      <c r="G615" s="5"/>
      <c r="H615" s="5"/>
      <c r="K615" s="5"/>
    </row>
    <row r="616" spans="7:11" x14ac:dyDescent="0.35">
      <c r="G616" s="5"/>
      <c r="H616" s="5"/>
      <c r="K616" s="5"/>
    </row>
    <row r="617" spans="7:11" x14ac:dyDescent="0.35">
      <c r="G617" s="5"/>
      <c r="H617" s="5"/>
      <c r="K617" s="5"/>
    </row>
    <row r="618" spans="7:11" x14ac:dyDescent="0.35">
      <c r="G618" s="5"/>
      <c r="H618" s="5"/>
      <c r="K618" s="5"/>
    </row>
    <row r="619" spans="7:11" x14ac:dyDescent="0.35">
      <c r="G619" s="5"/>
      <c r="H619" s="5"/>
      <c r="K619" s="5"/>
    </row>
    <row r="620" spans="7:11" x14ac:dyDescent="0.35">
      <c r="G620" s="5"/>
      <c r="H620" s="5"/>
      <c r="K620" s="5"/>
    </row>
    <row r="621" spans="7:11" x14ac:dyDescent="0.35">
      <c r="G621" s="5"/>
      <c r="H621" s="5"/>
      <c r="K621" s="5"/>
    </row>
    <row r="622" spans="7:11" x14ac:dyDescent="0.35">
      <c r="G622" s="5"/>
      <c r="H622" s="5"/>
      <c r="K622" s="5"/>
    </row>
    <row r="623" spans="7:11" x14ac:dyDescent="0.35">
      <c r="G623" s="5"/>
      <c r="H623" s="5"/>
      <c r="K623" s="5"/>
    </row>
    <row r="624" spans="7:11" x14ac:dyDescent="0.35">
      <c r="G624" s="5"/>
      <c r="H624" s="5"/>
      <c r="K624" s="5"/>
    </row>
    <row r="625" spans="7:11" x14ac:dyDescent="0.35">
      <c r="G625" s="5"/>
      <c r="H625" s="5"/>
      <c r="K625" s="5"/>
    </row>
    <row r="626" spans="7:11" x14ac:dyDescent="0.35">
      <c r="G626" s="5"/>
      <c r="H626" s="5"/>
      <c r="K626" s="5"/>
    </row>
    <row r="627" spans="7:11" x14ac:dyDescent="0.35">
      <c r="G627" s="5"/>
      <c r="H627" s="5"/>
      <c r="K627" s="5"/>
    </row>
    <row r="628" spans="7:11" x14ac:dyDescent="0.35">
      <c r="G628" s="5"/>
      <c r="H628" s="5"/>
      <c r="K628" s="5"/>
    </row>
    <row r="629" spans="7:11" x14ac:dyDescent="0.35">
      <c r="G629" s="5"/>
      <c r="H629" s="5"/>
      <c r="K629" s="5"/>
    </row>
    <row r="630" spans="7:11" x14ac:dyDescent="0.35">
      <c r="G630" s="5"/>
      <c r="H630" s="5"/>
      <c r="K630" s="5"/>
    </row>
    <row r="631" spans="7:11" x14ac:dyDescent="0.35">
      <c r="G631" s="5"/>
      <c r="H631" s="5"/>
      <c r="K631" s="5"/>
    </row>
    <row r="632" spans="7:11" x14ac:dyDescent="0.35">
      <c r="G632" s="5"/>
      <c r="H632" s="5"/>
      <c r="K632" s="5"/>
    </row>
    <row r="633" spans="7:11" x14ac:dyDescent="0.35">
      <c r="G633" s="5"/>
      <c r="H633" s="5"/>
      <c r="K633" s="5"/>
    </row>
    <row r="634" spans="7:11" x14ac:dyDescent="0.35">
      <c r="G634" s="5"/>
      <c r="H634" s="5"/>
      <c r="K634" s="5"/>
    </row>
    <row r="635" spans="7:11" x14ac:dyDescent="0.35">
      <c r="G635" s="5"/>
      <c r="H635" s="5"/>
      <c r="K635" s="5"/>
    </row>
    <row r="636" spans="7:11" x14ac:dyDescent="0.35">
      <c r="G636" s="5"/>
      <c r="H636" s="5"/>
      <c r="K636" s="5"/>
    </row>
    <row r="637" spans="7:11" x14ac:dyDescent="0.35">
      <c r="G637" s="5"/>
      <c r="H637" s="5"/>
      <c r="K637" s="5"/>
    </row>
    <row r="638" spans="7:11" x14ac:dyDescent="0.35">
      <c r="G638" s="5"/>
      <c r="H638" s="5"/>
      <c r="K638" s="5"/>
    </row>
    <row r="639" spans="7:11" x14ac:dyDescent="0.35">
      <c r="G639" s="5"/>
      <c r="H639" s="5"/>
      <c r="K639" s="5"/>
    </row>
    <row r="640" spans="7:11" x14ac:dyDescent="0.35">
      <c r="G640" s="5"/>
      <c r="H640" s="5"/>
      <c r="K640" s="5"/>
    </row>
    <row r="641" spans="7:11" x14ac:dyDescent="0.35">
      <c r="G641" s="5"/>
      <c r="H641" s="5"/>
      <c r="K641" s="5"/>
    </row>
    <row r="642" spans="7:11" x14ac:dyDescent="0.35">
      <c r="G642" s="5"/>
      <c r="H642" s="5"/>
      <c r="K642" s="5"/>
    </row>
    <row r="643" spans="7:11" x14ac:dyDescent="0.35">
      <c r="G643" s="5"/>
      <c r="H643" s="5"/>
      <c r="K643" s="5"/>
    </row>
    <row r="644" spans="7:11" x14ac:dyDescent="0.35">
      <c r="G644" s="5"/>
      <c r="H644" s="5"/>
      <c r="K644" s="5"/>
    </row>
    <row r="645" spans="7:11" x14ac:dyDescent="0.35">
      <c r="G645" s="5"/>
      <c r="H645" s="5"/>
      <c r="K645" s="5"/>
    </row>
    <row r="646" spans="7:11" x14ac:dyDescent="0.35">
      <c r="G646" s="5"/>
      <c r="H646" s="5"/>
      <c r="K646" s="5"/>
    </row>
    <row r="647" spans="7:11" x14ac:dyDescent="0.35">
      <c r="G647" s="5"/>
      <c r="H647" s="5"/>
      <c r="K647" s="5"/>
    </row>
    <row r="648" spans="7:11" x14ac:dyDescent="0.35">
      <c r="G648" s="5"/>
      <c r="H648" s="5"/>
      <c r="K648" s="5"/>
    </row>
    <row r="649" spans="7:11" x14ac:dyDescent="0.35">
      <c r="G649" s="5"/>
      <c r="H649" s="5"/>
      <c r="K649" s="5"/>
    </row>
    <row r="650" spans="7:11" x14ac:dyDescent="0.35">
      <c r="G650" s="5"/>
      <c r="H650" s="5"/>
      <c r="K650" s="5"/>
    </row>
    <row r="651" spans="7:11" x14ac:dyDescent="0.35">
      <c r="G651" s="5"/>
      <c r="H651" s="5"/>
      <c r="K651" s="5"/>
    </row>
    <row r="652" spans="7:11" x14ac:dyDescent="0.35">
      <c r="G652" s="5"/>
      <c r="H652" s="5"/>
      <c r="K652" s="5"/>
    </row>
    <row r="653" spans="7:11" x14ac:dyDescent="0.35">
      <c r="G653" s="5"/>
      <c r="H653" s="5"/>
      <c r="K653" s="5"/>
    </row>
    <row r="654" spans="7:11" x14ac:dyDescent="0.35">
      <c r="G654" s="5"/>
      <c r="H654" s="5"/>
      <c r="K654" s="5"/>
    </row>
    <row r="655" spans="7:11" x14ac:dyDescent="0.35">
      <c r="G655" s="5"/>
      <c r="H655" s="5"/>
      <c r="K655" s="5"/>
    </row>
    <row r="656" spans="7:11" x14ac:dyDescent="0.35">
      <c r="G656" s="5"/>
      <c r="H656" s="5"/>
      <c r="K656" s="5"/>
    </row>
    <row r="657" spans="7:11" x14ac:dyDescent="0.35">
      <c r="G657" s="5"/>
      <c r="H657" s="5"/>
      <c r="K657" s="5"/>
    </row>
    <row r="658" spans="7:11" x14ac:dyDescent="0.35">
      <c r="G658" s="5"/>
      <c r="H658" s="5"/>
      <c r="K658" s="5"/>
    </row>
    <row r="659" spans="7:11" x14ac:dyDescent="0.35">
      <c r="G659" s="5"/>
      <c r="H659" s="5"/>
      <c r="K659" s="5"/>
    </row>
    <row r="660" spans="7:11" x14ac:dyDescent="0.35">
      <c r="G660" s="5"/>
      <c r="H660" s="5"/>
      <c r="K660" s="5"/>
    </row>
    <row r="661" spans="7:11" x14ac:dyDescent="0.35">
      <c r="G661" s="5"/>
      <c r="H661" s="5"/>
      <c r="K661" s="5"/>
    </row>
    <row r="662" spans="7:11" x14ac:dyDescent="0.35">
      <c r="G662" s="5"/>
      <c r="H662" s="5"/>
      <c r="K662" s="5"/>
    </row>
    <row r="663" spans="7:11" x14ac:dyDescent="0.35">
      <c r="G663" s="5"/>
      <c r="H663" s="5"/>
      <c r="K663" s="5"/>
    </row>
    <row r="664" spans="7:11" x14ac:dyDescent="0.35">
      <c r="G664" s="5"/>
      <c r="H664" s="5"/>
      <c r="K664" s="5"/>
    </row>
    <row r="665" spans="7:11" x14ac:dyDescent="0.35">
      <c r="G665" s="5"/>
      <c r="H665" s="5"/>
      <c r="K665" s="5"/>
    </row>
    <row r="666" spans="7:11" x14ac:dyDescent="0.35">
      <c r="G666" s="5"/>
      <c r="H666" s="5"/>
      <c r="K666" s="5"/>
    </row>
    <row r="667" spans="7:11" x14ac:dyDescent="0.35">
      <c r="G667" s="5"/>
      <c r="H667" s="5"/>
      <c r="K667" s="5"/>
    </row>
    <row r="668" spans="7:11" x14ac:dyDescent="0.35">
      <c r="G668" s="5"/>
      <c r="H668" s="5"/>
      <c r="K668" s="5"/>
    </row>
    <row r="669" spans="7:11" x14ac:dyDescent="0.35">
      <c r="G669" s="5"/>
      <c r="H669" s="5"/>
      <c r="K669" s="5"/>
    </row>
    <row r="670" spans="7:11" x14ac:dyDescent="0.35">
      <c r="G670" s="5"/>
      <c r="H670" s="5"/>
      <c r="K670" s="5"/>
    </row>
    <row r="671" spans="7:11" x14ac:dyDescent="0.35">
      <c r="G671" s="5"/>
      <c r="H671" s="5"/>
      <c r="K671" s="5"/>
    </row>
    <row r="672" spans="7:11" x14ac:dyDescent="0.35">
      <c r="G672" s="5"/>
      <c r="H672" s="5"/>
      <c r="K672" s="5"/>
    </row>
    <row r="673" spans="7:11" x14ac:dyDescent="0.35">
      <c r="G673" s="5"/>
      <c r="H673" s="5"/>
      <c r="K673" s="5"/>
    </row>
    <row r="674" spans="7:11" x14ac:dyDescent="0.35">
      <c r="G674" s="5"/>
      <c r="H674" s="5"/>
      <c r="K674" s="5"/>
    </row>
    <row r="675" spans="7:11" x14ac:dyDescent="0.35">
      <c r="G675" s="5"/>
      <c r="H675" s="5"/>
      <c r="K675" s="5"/>
    </row>
    <row r="676" spans="7:11" x14ac:dyDescent="0.35">
      <c r="G676" s="5"/>
      <c r="H676" s="5"/>
      <c r="K676" s="5"/>
    </row>
    <row r="677" spans="7:11" x14ac:dyDescent="0.35">
      <c r="G677" s="5"/>
      <c r="H677" s="5"/>
      <c r="K677" s="5"/>
    </row>
    <row r="678" spans="7:11" x14ac:dyDescent="0.35">
      <c r="G678" s="5"/>
      <c r="H678" s="5"/>
      <c r="K678" s="5"/>
    </row>
    <row r="679" spans="7:11" x14ac:dyDescent="0.35">
      <c r="G679" s="5"/>
      <c r="H679" s="5"/>
      <c r="K679" s="5"/>
    </row>
    <row r="680" spans="7:11" x14ac:dyDescent="0.35">
      <c r="G680" s="5"/>
      <c r="H680" s="5"/>
      <c r="K680" s="5"/>
    </row>
    <row r="681" spans="7:11" x14ac:dyDescent="0.35">
      <c r="G681" s="5"/>
      <c r="H681" s="5"/>
      <c r="K681" s="5"/>
    </row>
    <row r="682" spans="7:11" x14ac:dyDescent="0.35">
      <c r="G682" s="5"/>
      <c r="H682" s="5"/>
      <c r="K682" s="5"/>
    </row>
    <row r="683" spans="7:11" x14ac:dyDescent="0.35">
      <c r="G683" s="5"/>
      <c r="H683" s="5"/>
      <c r="K683" s="5"/>
    </row>
    <row r="684" spans="7:11" x14ac:dyDescent="0.35">
      <c r="G684" s="5"/>
      <c r="H684" s="5"/>
      <c r="K684" s="5"/>
    </row>
    <row r="685" spans="7:11" x14ac:dyDescent="0.35">
      <c r="G685" s="5"/>
      <c r="H685" s="5"/>
      <c r="K685" s="5"/>
    </row>
    <row r="686" spans="7:11" x14ac:dyDescent="0.35">
      <c r="G686" s="5"/>
      <c r="H686" s="5"/>
      <c r="K686" s="5"/>
    </row>
    <row r="687" spans="7:11" x14ac:dyDescent="0.35">
      <c r="G687" s="5"/>
      <c r="H687" s="5"/>
      <c r="K687" s="5"/>
    </row>
    <row r="688" spans="7:11" x14ac:dyDescent="0.35">
      <c r="G688" s="5"/>
      <c r="H688" s="5"/>
      <c r="K688" s="5"/>
    </row>
    <row r="689" spans="7:11" x14ac:dyDescent="0.35">
      <c r="G689" s="5"/>
      <c r="H689" s="5"/>
      <c r="K689" s="5"/>
    </row>
    <row r="690" spans="7:11" x14ac:dyDescent="0.35">
      <c r="G690" s="5"/>
      <c r="H690" s="5"/>
      <c r="K690" s="5"/>
    </row>
    <row r="691" spans="7:11" x14ac:dyDescent="0.35">
      <c r="G691" s="5"/>
      <c r="H691" s="5"/>
      <c r="K691" s="5"/>
    </row>
    <row r="692" spans="7:11" x14ac:dyDescent="0.35">
      <c r="G692" s="5"/>
      <c r="H692" s="5"/>
      <c r="K692" s="5"/>
    </row>
    <row r="693" spans="7:11" x14ac:dyDescent="0.35">
      <c r="G693" s="5"/>
      <c r="H693" s="5"/>
      <c r="K693" s="5"/>
    </row>
    <row r="694" spans="7:11" x14ac:dyDescent="0.35">
      <c r="G694" s="5"/>
      <c r="H694" s="5"/>
      <c r="K694" s="5"/>
    </row>
    <row r="695" spans="7:11" x14ac:dyDescent="0.35">
      <c r="G695" s="5"/>
      <c r="H695" s="5"/>
      <c r="K695" s="5"/>
    </row>
    <row r="696" spans="7:11" x14ac:dyDescent="0.35">
      <c r="G696" s="5"/>
      <c r="H696" s="5"/>
      <c r="K696" s="5"/>
    </row>
    <row r="697" spans="7:11" x14ac:dyDescent="0.35">
      <c r="G697" s="5"/>
      <c r="H697" s="5"/>
      <c r="K697" s="5"/>
    </row>
    <row r="698" spans="7:11" x14ac:dyDescent="0.35">
      <c r="G698" s="5"/>
      <c r="H698" s="5"/>
      <c r="K698" s="5"/>
    </row>
    <row r="699" spans="7:11" x14ac:dyDescent="0.35">
      <c r="G699" s="5"/>
      <c r="H699" s="5"/>
      <c r="K699" s="5"/>
    </row>
    <row r="700" spans="7:11" x14ac:dyDescent="0.35">
      <c r="G700" s="5"/>
      <c r="H700" s="5"/>
      <c r="K700" s="5"/>
    </row>
    <row r="701" spans="7:11" x14ac:dyDescent="0.35">
      <c r="G701" s="5"/>
      <c r="H701" s="5"/>
      <c r="K701" s="5"/>
    </row>
    <row r="702" spans="7:11" x14ac:dyDescent="0.35">
      <c r="G702" s="5"/>
      <c r="H702" s="5"/>
      <c r="K702" s="5"/>
    </row>
    <row r="703" spans="7:11" x14ac:dyDescent="0.35">
      <c r="G703" s="5"/>
      <c r="H703" s="5"/>
      <c r="K703" s="5"/>
    </row>
    <row r="704" spans="7:11" x14ac:dyDescent="0.35">
      <c r="G704" s="5"/>
      <c r="H704" s="5"/>
      <c r="K704" s="5"/>
    </row>
    <row r="705" spans="7:11" x14ac:dyDescent="0.35">
      <c r="G705" s="5"/>
      <c r="H705" s="5"/>
      <c r="K705" s="5"/>
    </row>
    <row r="706" spans="7:11" x14ac:dyDescent="0.35">
      <c r="G706" s="5"/>
      <c r="H706" s="5"/>
      <c r="K706" s="5"/>
    </row>
    <row r="707" spans="7:11" x14ac:dyDescent="0.35">
      <c r="G707" s="5"/>
      <c r="H707" s="5"/>
      <c r="K707" s="5"/>
    </row>
    <row r="708" spans="7:11" x14ac:dyDescent="0.35">
      <c r="G708" s="5"/>
      <c r="H708" s="5"/>
      <c r="K708" s="5"/>
    </row>
    <row r="709" spans="7:11" x14ac:dyDescent="0.35">
      <c r="G709" s="5"/>
      <c r="H709" s="5"/>
      <c r="K709" s="5"/>
    </row>
    <row r="710" spans="7:11" x14ac:dyDescent="0.35">
      <c r="G710" s="5"/>
      <c r="H710" s="5"/>
      <c r="K710" s="5"/>
    </row>
    <row r="711" spans="7:11" x14ac:dyDescent="0.35">
      <c r="G711" s="5"/>
      <c r="H711" s="5"/>
      <c r="K711" s="5"/>
    </row>
    <row r="712" spans="7:11" x14ac:dyDescent="0.35">
      <c r="G712" s="5"/>
      <c r="H712" s="5"/>
      <c r="K712" s="5"/>
    </row>
    <row r="713" spans="7:11" x14ac:dyDescent="0.35">
      <c r="G713" s="5"/>
      <c r="H713" s="5"/>
      <c r="K713" s="5"/>
    </row>
    <row r="714" spans="7:11" x14ac:dyDescent="0.35">
      <c r="G714" s="5"/>
      <c r="H714" s="5"/>
      <c r="K714" s="5"/>
    </row>
    <row r="715" spans="7:11" x14ac:dyDescent="0.35">
      <c r="G715" s="5"/>
      <c r="H715" s="5"/>
      <c r="K715" s="5"/>
    </row>
    <row r="716" spans="7:11" x14ac:dyDescent="0.35">
      <c r="G716" s="5"/>
      <c r="H716" s="5"/>
      <c r="K716" s="5"/>
    </row>
    <row r="717" spans="7:11" x14ac:dyDescent="0.35">
      <c r="G717" s="5"/>
      <c r="H717" s="5"/>
      <c r="K717" s="5"/>
    </row>
    <row r="718" spans="7:11" x14ac:dyDescent="0.35">
      <c r="G718" s="5"/>
      <c r="H718" s="5"/>
      <c r="K718" s="5"/>
    </row>
    <row r="719" spans="7:11" x14ac:dyDescent="0.35">
      <c r="G719" s="5"/>
      <c r="H719" s="5"/>
      <c r="K719" s="5"/>
    </row>
    <row r="720" spans="7:11" x14ac:dyDescent="0.35">
      <c r="G720" s="5"/>
      <c r="H720" s="5"/>
      <c r="K720" s="5"/>
    </row>
    <row r="721" spans="7:11" x14ac:dyDescent="0.35">
      <c r="G721" s="5"/>
      <c r="H721" s="5"/>
      <c r="K721" s="5"/>
    </row>
    <row r="722" spans="7:11" x14ac:dyDescent="0.35">
      <c r="G722" s="5"/>
      <c r="H722" s="5"/>
      <c r="K722" s="5"/>
    </row>
    <row r="723" spans="7:11" x14ac:dyDescent="0.35">
      <c r="G723" s="5"/>
      <c r="H723" s="5"/>
      <c r="K723" s="5"/>
    </row>
    <row r="724" spans="7:11" x14ac:dyDescent="0.35">
      <c r="G724" s="5"/>
      <c r="H724" s="5"/>
      <c r="K724" s="5"/>
    </row>
    <row r="725" spans="7:11" x14ac:dyDescent="0.35">
      <c r="G725" s="5"/>
      <c r="H725" s="5"/>
      <c r="K725" s="5"/>
    </row>
    <row r="726" spans="7:11" x14ac:dyDescent="0.35">
      <c r="G726" s="5"/>
      <c r="H726" s="5"/>
      <c r="K726" s="5"/>
    </row>
    <row r="727" spans="7:11" x14ac:dyDescent="0.35">
      <c r="G727" s="5"/>
      <c r="H727" s="5"/>
      <c r="K727" s="5"/>
    </row>
    <row r="728" spans="7:11" x14ac:dyDescent="0.35">
      <c r="G728" s="5"/>
      <c r="H728" s="5"/>
      <c r="K728" s="5"/>
    </row>
    <row r="729" spans="7:11" x14ac:dyDescent="0.35">
      <c r="G729" s="5"/>
      <c r="H729" s="5"/>
      <c r="K729" s="5"/>
    </row>
    <row r="730" spans="7:11" x14ac:dyDescent="0.35">
      <c r="G730" s="5"/>
      <c r="H730" s="5"/>
      <c r="K730" s="5"/>
    </row>
    <row r="731" spans="7:11" x14ac:dyDescent="0.35">
      <c r="G731" s="5"/>
      <c r="H731" s="5"/>
      <c r="K731" s="5"/>
    </row>
    <row r="732" spans="7:11" x14ac:dyDescent="0.35">
      <c r="G732" s="5"/>
      <c r="H732" s="5"/>
      <c r="K732" s="5"/>
    </row>
    <row r="733" spans="7:11" x14ac:dyDescent="0.35">
      <c r="G733" s="5"/>
      <c r="H733" s="5"/>
      <c r="K733" s="5"/>
    </row>
    <row r="734" spans="7:11" x14ac:dyDescent="0.35">
      <c r="G734" s="5"/>
      <c r="H734" s="5"/>
      <c r="K734" s="5"/>
    </row>
    <row r="735" spans="7:11" x14ac:dyDescent="0.35">
      <c r="G735" s="5"/>
      <c r="H735" s="5"/>
      <c r="K735" s="5"/>
    </row>
    <row r="736" spans="7:11" x14ac:dyDescent="0.35">
      <c r="G736" s="5"/>
      <c r="H736" s="5"/>
      <c r="K736" s="5"/>
    </row>
    <row r="737" spans="7:11" x14ac:dyDescent="0.35">
      <c r="G737" s="5"/>
      <c r="H737" s="5"/>
      <c r="K737" s="5"/>
    </row>
    <row r="738" spans="7:11" x14ac:dyDescent="0.35">
      <c r="G738" s="5"/>
      <c r="H738" s="5"/>
      <c r="K738" s="5"/>
    </row>
    <row r="739" spans="7:11" x14ac:dyDescent="0.35">
      <c r="G739" s="5"/>
      <c r="H739" s="5"/>
      <c r="K739" s="5"/>
    </row>
    <row r="740" spans="7:11" x14ac:dyDescent="0.35">
      <c r="G740" s="5"/>
      <c r="H740" s="5"/>
      <c r="K740" s="5"/>
    </row>
    <row r="741" spans="7:11" x14ac:dyDescent="0.35">
      <c r="G741" s="5"/>
      <c r="H741" s="5"/>
      <c r="K741" s="5"/>
    </row>
    <row r="742" spans="7:11" x14ac:dyDescent="0.35">
      <c r="G742" s="5"/>
      <c r="H742" s="5"/>
      <c r="K742" s="5"/>
    </row>
    <row r="743" spans="7:11" x14ac:dyDescent="0.35">
      <c r="G743" s="5"/>
      <c r="H743" s="5"/>
      <c r="K743" s="5"/>
    </row>
    <row r="744" spans="7:11" x14ac:dyDescent="0.35">
      <c r="G744" s="5"/>
      <c r="H744" s="5"/>
      <c r="K744" s="5"/>
    </row>
    <row r="745" spans="7:11" x14ac:dyDescent="0.35">
      <c r="G745" s="5"/>
      <c r="H745" s="5"/>
      <c r="K745" s="5"/>
    </row>
    <row r="746" spans="7:11" x14ac:dyDescent="0.35">
      <c r="G746" s="5"/>
      <c r="H746" s="5"/>
      <c r="K746" s="5"/>
    </row>
    <row r="747" spans="7:11" x14ac:dyDescent="0.35">
      <c r="G747" s="5"/>
      <c r="H747" s="5"/>
      <c r="K747" s="5"/>
    </row>
    <row r="748" spans="7:11" x14ac:dyDescent="0.35">
      <c r="G748" s="5"/>
      <c r="H748" s="5"/>
      <c r="K748" s="5"/>
    </row>
    <row r="749" spans="7:11" x14ac:dyDescent="0.35">
      <c r="G749" s="5"/>
      <c r="H749" s="5"/>
      <c r="K749" s="5"/>
    </row>
    <row r="750" spans="7:11" x14ac:dyDescent="0.35">
      <c r="G750" s="5"/>
      <c r="H750" s="5"/>
      <c r="K750" s="5"/>
    </row>
    <row r="751" spans="7:11" x14ac:dyDescent="0.35">
      <c r="G751" s="5"/>
      <c r="H751" s="5"/>
      <c r="K751" s="5"/>
    </row>
    <row r="752" spans="7:11" x14ac:dyDescent="0.35">
      <c r="G752" s="5"/>
      <c r="H752" s="5"/>
      <c r="K752" s="5"/>
    </row>
    <row r="753" spans="7:11" x14ac:dyDescent="0.35">
      <c r="G753" s="5"/>
      <c r="H753" s="5"/>
      <c r="K753" s="5"/>
    </row>
    <row r="754" spans="7:11" x14ac:dyDescent="0.35">
      <c r="G754" s="5"/>
      <c r="H754" s="5"/>
      <c r="K754" s="5"/>
    </row>
    <row r="755" spans="7:11" x14ac:dyDescent="0.35">
      <c r="G755" s="5"/>
      <c r="H755" s="5"/>
      <c r="K755" s="5"/>
    </row>
    <row r="756" spans="7:11" x14ac:dyDescent="0.35">
      <c r="G756" s="5"/>
      <c r="H756" s="5"/>
      <c r="K756" s="5"/>
    </row>
    <row r="757" spans="7:11" x14ac:dyDescent="0.35">
      <c r="G757" s="5"/>
      <c r="H757" s="5"/>
      <c r="K757" s="5"/>
    </row>
    <row r="758" spans="7:11" x14ac:dyDescent="0.35">
      <c r="G758" s="5"/>
      <c r="H758" s="5"/>
      <c r="K758" s="5"/>
    </row>
    <row r="759" spans="7:11" x14ac:dyDescent="0.35">
      <c r="G759" s="5"/>
      <c r="H759" s="5"/>
      <c r="K759" s="5"/>
    </row>
    <row r="760" spans="7:11" x14ac:dyDescent="0.35">
      <c r="G760" s="5"/>
      <c r="H760" s="5"/>
      <c r="K760" s="5"/>
    </row>
    <row r="761" spans="7:11" x14ac:dyDescent="0.35">
      <c r="G761" s="5"/>
      <c r="H761" s="5"/>
      <c r="K761" s="5"/>
    </row>
    <row r="762" spans="7:11" x14ac:dyDescent="0.35">
      <c r="G762" s="5"/>
      <c r="H762" s="5"/>
      <c r="K762" s="5"/>
    </row>
    <row r="763" spans="7:11" x14ac:dyDescent="0.35">
      <c r="G763" s="5"/>
      <c r="H763" s="5"/>
      <c r="K763" s="5"/>
    </row>
    <row r="764" spans="7:11" x14ac:dyDescent="0.35">
      <c r="G764" s="5"/>
      <c r="H764" s="5"/>
      <c r="K764" s="5"/>
    </row>
    <row r="765" spans="7:11" x14ac:dyDescent="0.35">
      <c r="G765" s="5"/>
      <c r="H765" s="5"/>
      <c r="K765" s="5"/>
    </row>
    <row r="766" spans="7:11" x14ac:dyDescent="0.35">
      <c r="G766" s="5"/>
      <c r="H766" s="5"/>
      <c r="K766" s="5"/>
    </row>
    <row r="767" spans="7:11" x14ac:dyDescent="0.35">
      <c r="G767" s="5"/>
      <c r="H767" s="5"/>
      <c r="K767" s="5"/>
    </row>
    <row r="768" spans="7:11" x14ac:dyDescent="0.35">
      <c r="G768" s="5"/>
      <c r="H768" s="5"/>
      <c r="K768" s="5"/>
    </row>
    <row r="769" spans="7:11" x14ac:dyDescent="0.35">
      <c r="G769" s="5"/>
      <c r="H769" s="5"/>
      <c r="K769" s="5"/>
    </row>
    <row r="770" spans="7:11" x14ac:dyDescent="0.35">
      <c r="G770" s="5"/>
      <c r="H770" s="5"/>
      <c r="K770" s="5"/>
    </row>
    <row r="771" spans="7:11" x14ac:dyDescent="0.35">
      <c r="G771" s="5"/>
      <c r="H771" s="5"/>
      <c r="K771" s="5"/>
    </row>
    <row r="772" spans="7:11" x14ac:dyDescent="0.35">
      <c r="G772" s="5"/>
      <c r="H772" s="5"/>
      <c r="K772" s="5"/>
    </row>
    <row r="773" spans="7:11" x14ac:dyDescent="0.35">
      <c r="G773" s="5"/>
      <c r="H773" s="5"/>
      <c r="K773" s="5"/>
    </row>
    <row r="774" spans="7:11" x14ac:dyDescent="0.35">
      <c r="G774" s="5"/>
      <c r="H774" s="5"/>
      <c r="K774" s="5"/>
    </row>
    <row r="775" spans="7:11" x14ac:dyDescent="0.35">
      <c r="G775" s="5"/>
      <c r="H775" s="5"/>
      <c r="K775" s="5"/>
    </row>
    <row r="776" spans="7:11" x14ac:dyDescent="0.35">
      <c r="G776" s="5"/>
      <c r="H776" s="5"/>
      <c r="K776" s="5"/>
    </row>
    <row r="777" spans="7:11" x14ac:dyDescent="0.35">
      <c r="G777" s="5"/>
      <c r="H777" s="5"/>
      <c r="K777" s="5"/>
    </row>
    <row r="778" spans="7:11" x14ac:dyDescent="0.35">
      <c r="G778" s="5"/>
      <c r="H778" s="5"/>
      <c r="K778" s="5"/>
    </row>
    <row r="779" spans="7:11" x14ac:dyDescent="0.35">
      <c r="G779" s="5"/>
      <c r="H779" s="5"/>
      <c r="K779" s="5"/>
    </row>
    <row r="780" spans="7:11" x14ac:dyDescent="0.35">
      <c r="G780" s="5"/>
      <c r="H780" s="5"/>
      <c r="K780" s="5"/>
    </row>
    <row r="781" spans="7:11" x14ac:dyDescent="0.35">
      <c r="G781" s="5"/>
      <c r="H781" s="5"/>
      <c r="K781" s="5"/>
    </row>
    <row r="782" spans="7:11" x14ac:dyDescent="0.35">
      <c r="G782" s="5"/>
      <c r="H782" s="5"/>
      <c r="K782" s="5"/>
    </row>
    <row r="783" spans="7:11" x14ac:dyDescent="0.35">
      <c r="G783" s="5"/>
      <c r="H783" s="5"/>
      <c r="K783" s="5"/>
    </row>
    <row r="784" spans="7:11" x14ac:dyDescent="0.35">
      <c r="G784" s="5"/>
      <c r="H784" s="5"/>
      <c r="K784" s="5"/>
    </row>
    <row r="785" spans="7:11" x14ac:dyDescent="0.35">
      <c r="G785" s="5"/>
      <c r="H785" s="5"/>
      <c r="K785" s="5"/>
    </row>
    <row r="786" spans="7:11" x14ac:dyDescent="0.35">
      <c r="G786" s="5"/>
      <c r="H786" s="5"/>
      <c r="K786" s="5"/>
    </row>
    <row r="787" spans="7:11" x14ac:dyDescent="0.35">
      <c r="G787" s="5"/>
      <c r="H787" s="5"/>
      <c r="K787" s="5"/>
    </row>
    <row r="788" spans="7:11" x14ac:dyDescent="0.35">
      <c r="G788" s="5"/>
      <c r="H788" s="5"/>
      <c r="K788" s="5"/>
    </row>
    <row r="789" spans="7:11" x14ac:dyDescent="0.35">
      <c r="G789" s="5"/>
      <c r="H789" s="5"/>
      <c r="K789" s="5"/>
    </row>
    <row r="790" spans="7:11" x14ac:dyDescent="0.35">
      <c r="G790" s="5"/>
      <c r="H790" s="5"/>
      <c r="K790" s="5"/>
    </row>
    <row r="791" spans="7:11" x14ac:dyDescent="0.35">
      <c r="G791" s="5"/>
      <c r="H791" s="5"/>
      <c r="K791" s="5"/>
    </row>
    <row r="792" spans="7:11" x14ac:dyDescent="0.35">
      <c r="G792" s="5"/>
      <c r="H792" s="5"/>
      <c r="K792" s="5"/>
    </row>
    <row r="793" spans="7:11" x14ac:dyDescent="0.35">
      <c r="G793" s="5"/>
      <c r="H793" s="5"/>
      <c r="K793" s="5"/>
    </row>
    <row r="794" spans="7:11" x14ac:dyDescent="0.35">
      <c r="G794" s="5"/>
      <c r="H794" s="5"/>
      <c r="K794" s="5"/>
    </row>
    <row r="795" spans="7:11" x14ac:dyDescent="0.35">
      <c r="G795" s="5"/>
      <c r="H795" s="5"/>
      <c r="K795" s="5"/>
    </row>
    <row r="796" spans="7:11" x14ac:dyDescent="0.35">
      <c r="G796" s="5"/>
      <c r="H796" s="5"/>
      <c r="K796" s="5"/>
    </row>
    <row r="797" spans="7:11" x14ac:dyDescent="0.35">
      <c r="G797" s="5"/>
      <c r="H797" s="5"/>
      <c r="K797" s="5"/>
    </row>
    <row r="798" spans="7:11" x14ac:dyDescent="0.35">
      <c r="G798" s="5"/>
      <c r="H798" s="5"/>
      <c r="K798" s="5"/>
    </row>
    <row r="799" spans="7:11" x14ac:dyDescent="0.35">
      <c r="G799" s="5"/>
      <c r="H799" s="5"/>
      <c r="K799" s="5"/>
    </row>
    <row r="800" spans="7:11" x14ac:dyDescent="0.35">
      <c r="G800" s="5"/>
      <c r="H800" s="5"/>
      <c r="K800" s="5"/>
    </row>
    <row r="801" spans="7:11" x14ac:dyDescent="0.35">
      <c r="G801" s="5"/>
      <c r="H801" s="5"/>
      <c r="K801" s="5"/>
    </row>
    <row r="802" spans="7:11" x14ac:dyDescent="0.35">
      <c r="G802" s="5"/>
      <c r="H802" s="5"/>
      <c r="K802" s="5"/>
    </row>
    <row r="803" spans="7:11" x14ac:dyDescent="0.35">
      <c r="G803" s="5"/>
      <c r="H803" s="5"/>
      <c r="K803" s="5"/>
    </row>
    <row r="804" spans="7:11" x14ac:dyDescent="0.35">
      <c r="G804" s="5"/>
      <c r="H804" s="5"/>
      <c r="K804" s="5"/>
    </row>
    <row r="805" spans="7:11" x14ac:dyDescent="0.35">
      <c r="G805" s="5"/>
      <c r="H805" s="5"/>
      <c r="K805" s="5"/>
    </row>
    <row r="806" spans="7:11" x14ac:dyDescent="0.35">
      <c r="G806" s="5"/>
      <c r="H806" s="5"/>
      <c r="K806" s="5"/>
    </row>
    <row r="807" spans="7:11" x14ac:dyDescent="0.35">
      <c r="G807" s="5"/>
      <c r="H807" s="5"/>
      <c r="K807" s="5"/>
    </row>
    <row r="808" spans="7:11" x14ac:dyDescent="0.35">
      <c r="G808" s="5"/>
      <c r="H808" s="5"/>
      <c r="K808" s="5"/>
    </row>
    <row r="809" spans="7:11" x14ac:dyDescent="0.35">
      <c r="G809" s="5"/>
      <c r="H809" s="5"/>
      <c r="K809" s="5"/>
    </row>
    <row r="810" spans="7:11" x14ac:dyDescent="0.35">
      <c r="G810" s="5"/>
      <c r="H810" s="5"/>
      <c r="K810" s="5"/>
    </row>
    <row r="811" spans="7:11" x14ac:dyDescent="0.35">
      <c r="G811" s="5"/>
      <c r="H811" s="5"/>
      <c r="K811" s="5"/>
    </row>
    <row r="812" spans="7:11" x14ac:dyDescent="0.35">
      <c r="G812" s="5"/>
      <c r="H812" s="5"/>
      <c r="K812" s="5"/>
    </row>
    <row r="813" spans="7:11" x14ac:dyDescent="0.35">
      <c r="G813" s="5"/>
      <c r="H813" s="5"/>
      <c r="K813" s="5"/>
    </row>
    <row r="814" spans="7:11" x14ac:dyDescent="0.35">
      <c r="G814" s="5"/>
      <c r="H814" s="5"/>
      <c r="K814" s="5"/>
    </row>
    <row r="815" spans="7:11" x14ac:dyDescent="0.35">
      <c r="G815" s="5"/>
      <c r="H815" s="5"/>
      <c r="K815" s="5"/>
    </row>
    <row r="816" spans="7:11" x14ac:dyDescent="0.35">
      <c r="G816" s="5"/>
      <c r="H816" s="5"/>
      <c r="K816" s="5"/>
    </row>
    <row r="817" spans="7:11" x14ac:dyDescent="0.35">
      <c r="G817" s="5"/>
      <c r="H817" s="5"/>
      <c r="K817" s="5"/>
    </row>
    <row r="818" spans="7:11" x14ac:dyDescent="0.35">
      <c r="G818" s="5"/>
      <c r="H818" s="5"/>
      <c r="K818" s="5"/>
    </row>
    <row r="819" spans="7:11" x14ac:dyDescent="0.35">
      <c r="G819" s="5"/>
      <c r="H819" s="5"/>
      <c r="K819" s="5"/>
    </row>
    <row r="820" spans="7:11" x14ac:dyDescent="0.35">
      <c r="G820" s="5"/>
      <c r="H820" s="5"/>
      <c r="K820" s="5"/>
    </row>
    <row r="821" spans="7:11" x14ac:dyDescent="0.35">
      <c r="G821" s="5"/>
      <c r="H821" s="5"/>
      <c r="K821" s="5"/>
    </row>
    <row r="822" spans="7:11" x14ac:dyDescent="0.35">
      <c r="G822" s="5"/>
      <c r="H822" s="5"/>
      <c r="K822" s="5"/>
    </row>
    <row r="823" spans="7:11" x14ac:dyDescent="0.35">
      <c r="G823" s="5"/>
      <c r="H823" s="5"/>
      <c r="K823" s="5"/>
    </row>
    <row r="824" spans="7:11" x14ac:dyDescent="0.35">
      <c r="G824" s="5"/>
      <c r="H824" s="5"/>
      <c r="K824" s="5"/>
    </row>
    <row r="825" spans="7:11" x14ac:dyDescent="0.35">
      <c r="G825" s="5"/>
      <c r="H825" s="5"/>
      <c r="K825" s="5"/>
    </row>
    <row r="826" spans="7:11" x14ac:dyDescent="0.35">
      <c r="G826" s="5"/>
      <c r="H826" s="5"/>
      <c r="K826" s="5"/>
    </row>
    <row r="827" spans="7:11" x14ac:dyDescent="0.35">
      <c r="G827" s="5"/>
      <c r="H827" s="5"/>
      <c r="K827" s="5"/>
    </row>
    <row r="828" spans="7:11" x14ac:dyDescent="0.35">
      <c r="G828" s="5"/>
      <c r="H828" s="5"/>
      <c r="K828" s="5"/>
    </row>
    <row r="829" spans="7:11" x14ac:dyDescent="0.35">
      <c r="G829" s="5"/>
      <c r="H829" s="5"/>
      <c r="K829" s="5"/>
    </row>
    <row r="830" spans="7:11" x14ac:dyDescent="0.35">
      <c r="G830" s="5"/>
      <c r="H830" s="5"/>
      <c r="K830" s="5"/>
    </row>
    <row r="831" spans="7:11" x14ac:dyDescent="0.35">
      <c r="G831" s="5"/>
      <c r="H831" s="5"/>
      <c r="K831" s="5"/>
    </row>
    <row r="832" spans="7:11" x14ac:dyDescent="0.35">
      <c r="G832" s="5"/>
      <c r="H832" s="5"/>
      <c r="K832" s="5"/>
    </row>
    <row r="833" spans="7:11" x14ac:dyDescent="0.35">
      <c r="G833" s="5"/>
      <c r="H833" s="5"/>
      <c r="K833" s="5"/>
    </row>
    <row r="834" spans="7:11" x14ac:dyDescent="0.35">
      <c r="G834" s="5"/>
      <c r="H834" s="5"/>
      <c r="K834" s="5"/>
    </row>
    <row r="835" spans="7:11" x14ac:dyDescent="0.35">
      <c r="G835" s="5"/>
      <c r="H835" s="5"/>
      <c r="K835" s="5"/>
    </row>
    <row r="836" spans="7:11" x14ac:dyDescent="0.35">
      <c r="G836" s="5"/>
      <c r="H836" s="5"/>
      <c r="K836" s="5"/>
    </row>
    <row r="837" spans="7:11" x14ac:dyDescent="0.35">
      <c r="G837" s="5"/>
      <c r="H837" s="5"/>
      <c r="K837" s="5"/>
    </row>
    <row r="838" spans="7:11" x14ac:dyDescent="0.35">
      <c r="G838" s="5"/>
      <c r="H838" s="5"/>
      <c r="K838" s="5"/>
    </row>
    <row r="839" spans="7:11" x14ac:dyDescent="0.35">
      <c r="G839" s="5"/>
      <c r="H839" s="5"/>
      <c r="K839" s="5"/>
    </row>
    <row r="840" spans="7:11" x14ac:dyDescent="0.35">
      <c r="G840" s="5"/>
      <c r="H840" s="5"/>
      <c r="K840" s="5"/>
    </row>
    <row r="841" spans="7:11" x14ac:dyDescent="0.35">
      <c r="G841" s="5"/>
      <c r="H841" s="5"/>
      <c r="K841" s="5"/>
    </row>
    <row r="842" spans="7:11" x14ac:dyDescent="0.35">
      <c r="G842" s="5"/>
      <c r="H842" s="5"/>
      <c r="K842" s="5"/>
    </row>
    <row r="843" spans="7:11" x14ac:dyDescent="0.35">
      <c r="G843" s="5"/>
      <c r="H843" s="5"/>
      <c r="K843" s="5"/>
    </row>
    <row r="844" spans="7:11" x14ac:dyDescent="0.35">
      <c r="G844" s="5"/>
      <c r="H844" s="5"/>
      <c r="K844" s="5"/>
    </row>
    <row r="845" spans="7:11" x14ac:dyDescent="0.35">
      <c r="G845" s="5"/>
      <c r="H845" s="5"/>
      <c r="K845" s="5"/>
    </row>
    <row r="846" spans="7:11" x14ac:dyDescent="0.35">
      <c r="G846" s="5"/>
      <c r="H846" s="5"/>
      <c r="K846" s="5"/>
    </row>
    <row r="847" spans="7:11" x14ac:dyDescent="0.35">
      <c r="G847" s="5"/>
      <c r="H847" s="5"/>
      <c r="K847" s="5"/>
    </row>
    <row r="848" spans="7:11" x14ac:dyDescent="0.35">
      <c r="G848" s="5"/>
      <c r="H848" s="5"/>
      <c r="K848" s="5"/>
    </row>
    <row r="849" spans="7:11" x14ac:dyDescent="0.35">
      <c r="G849" s="5"/>
      <c r="H849" s="5"/>
      <c r="K849" s="5"/>
    </row>
    <row r="850" spans="7:11" x14ac:dyDescent="0.35">
      <c r="G850" s="5"/>
      <c r="H850" s="5"/>
      <c r="K850" s="5"/>
    </row>
    <row r="851" spans="7:11" x14ac:dyDescent="0.35">
      <c r="G851" s="5"/>
      <c r="H851" s="5"/>
      <c r="K851" s="5"/>
    </row>
    <row r="852" spans="7:11" x14ac:dyDescent="0.35">
      <c r="G852" s="5"/>
      <c r="H852" s="5"/>
      <c r="K852" s="5"/>
    </row>
    <row r="853" spans="7:11" x14ac:dyDescent="0.35">
      <c r="G853" s="5"/>
      <c r="H853" s="5"/>
      <c r="K853" s="5"/>
    </row>
    <row r="854" spans="7:11" x14ac:dyDescent="0.35">
      <c r="G854" s="5"/>
      <c r="H854" s="5"/>
      <c r="K854" s="5"/>
    </row>
    <row r="855" spans="7:11" x14ac:dyDescent="0.35">
      <c r="G855" s="5"/>
      <c r="H855" s="5"/>
      <c r="K855" s="5"/>
    </row>
    <row r="856" spans="7:11" x14ac:dyDescent="0.35">
      <c r="G856" s="5"/>
      <c r="H856" s="5"/>
      <c r="K856" s="5"/>
    </row>
    <row r="857" spans="7:11" x14ac:dyDescent="0.35">
      <c r="G857" s="5"/>
      <c r="H857" s="5"/>
      <c r="K857" s="5"/>
    </row>
    <row r="858" spans="7:11" x14ac:dyDescent="0.35">
      <c r="G858" s="5"/>
      <c r="H858" s="5"/>
      <c r="K858" s="5"/>
    </row>
    <row r="859" spans="7:11" x14ac:dyDescent="0.35">
      <c r="G859" s="5"/>
      <c r="H859" s="5"/>
      <c r="K859" s="5"/>
    </row>
    <row r="860" spans="7:11" x14ac:dyDescent="0.35">
      <c r="G860" s="5"/>
      <c r="H860" s="5"/>
      <c r="K860" s="5"/>
    </row>
    <row r="861" spans="7:11" x14ac:dyDescent="0.35">
      <c r="G861" s="5"/>
      <c r="H861" s="5"/>
      <c r="K861" s="5"/>
    </row>
    <row r="862" spans="7:11" x14ac:dyDescent="0.35">
      <c r="G862" s="5"/>
      <c r="H862" s="5"/>
      <c r="K862" s="5"/>
    </row>
    <row r="863" spans="7:11" x14ac:dyDescent="0.35">
      <c r="G863" s="5"/>
      <c r="H863" s="5"/>
      <c r="K863" s="5"/>
    </row>
    <row r="864" spans="7:11" x14ac:dyDescent="0.35">
      <c r="G864" s="5"/>
      <c r="H864" s="5"/>
      <c r="K864" s="5"/>
    </row>
    <row r="865" spans="7:11" x14ac:dyDescent="0.35">
      <c r="G865" s="5"/>
      <c r="H865" s="5"/>
      <c r="K865" s="5"/>
    </row>
    <row r="866" spans="7:11" x14ac:dyDescent="0.35">
      <c r="G866" s="5"/>
      <c r="H866" s="5"/>
      <c r="K866" s="5"/>
    </row>
    <row r="867" spans="7:11" x14ac:dyDescent="0.35">
      <c r="G867" s="5"/>
      <c r="H867" s="5"/>
      <c r="K867" s="5"/>
    </row>
    <row r="868" spans="7:11" x14ac:dyDescent="0.35">
      <c r="G868" s="5"/>
      <c r="H868" s="5"/>
      <c r="K868" s="5"/>
    </row>
    <row r="869" spans="7:11" x14ac:dyDescent="0.35">
      <c r="G869" s="5"/>
      <c r="H869" s="5"/>
      <c r="K869" s="5"/>
    </row>
    <row r="870" spans="7:11" x14ac:dyDescent="0.35">
      <c r="G870" s="5"/>
      <c r="H870" s="5"/>
      <c r="K870" s="5"/>
    </row>
    <row r="871" spans="7:11" x14ac:dyDescent="0.35">
      <c r="G871" s="5"/>
      <c r="H871" s="5"/>
      <c r="K871" s="5"/>
    </row>
    <row r="872" spans="7:11" x14ac:dyDescent="0.35">
      <c r="G872" s="5"/>
      <c r="H872" s="5"/>
      <c r="K872" s="5"/>
    </row>
    <row r="873" spans="7:11" x14ac:dyDescent="0.35">
      <c r="G873" s="5"/>
      <c r="H873" s="5"/>
      <c r="K873" s="5"/>
    </row>
    <row r="874" spans="7:11" x14ac:dyDescent="0.35">
      <c r="G874" s="5"/>
      <c r="H874" s="5"/>
      <c r="K874" s="5"/>
    </row>
    <row r="875" spans="7:11" x14ac:dyDescent="0.35">
      <c r="G875" s="5"/>
      <c r="H875" s="5"/>
      <c r="K875" s="5"/>
    </row>
    <row r="876" spans="7:11" x14ac:dyDescent="0.35">
      <c r="G876" s="5"/>
      <c r="H876" s="5"/>
      <c r="K876" s="5"/>
    </row>
    <row r="877" spans="7:11" x14ac:dyDescent="0.35">
      <c r="G877" s="5"/>
      <c r="H877" s="5"/>
      <c r="K877" s="5"/>
    </row>
    <row r="878" spans="7:11" x14ac:dyDescent="0.35">
      <c r="G878" s="5"/>
      <c r="H878" s="5"/>
      <c r="K878" s="5"/>
    </row>
    <row r="879" spans="7:11" x14ac:dyDescent="0.35">
      <c r="G879" s="5"/>
      <c r="H879" s="5"/>
      <c r="K879" s="5"/>
    </row>
    <row r="880" spans="7:11" x14ac:dyDescent="0.35">
      <c r="G880" s="5"/>
      <c r="H880" s="5"/>
      <c r="K880" s="5"/>
    </row>
    <row r="881" spans="7:11" x14ac:dyDescent="0.35">
      <c r="G881" s="5"/>
      <c r="H881" s="5"/>
      <c r="K881" s="5"/>
    </row>
    <row r="882" spans="7:11" x14ac:dyDescent="0.35">
      <c r="G882" s="5"/>
      <c r="H882" s="5"/>
      <c r="K882" s="5"/>
    </row>
    <row r="883" spans="7:11" x14ac:dyDescent="0.35">
      <c r="G883" s="5"/>
      <c r="H883" s="5"/>
      <c r="K883" s="5"/>
    </row>
    <row r="884" spans="7:11" x14ac:dyDescent="0.35">
      <c r="G884" s="5"/>
      <c r="H884" s="5"/>
      <c r="K884" s="5"/>
    </row>
    <row r="885" spans="7:11" x14ac:dyDescent="0.35">
      <c r="G885" s="5"/>
      <c r="H885" s="5"/>
      <c r="K885" s="5"/>
    </row>
    <row r="886" spans="7:11" x14ac:dyDescent="0.35">
      <c r="G886" s="5"/>
      <c r="H886" s="5"/>
      <c r="K886" s="5"/>
    </row>
    <row r="887" spans="7:11" x14ac:dyDescent="0.35">
      <c r="G887" s="5"/>
      <c r="H887" s="5"/>
      <c r="K887" s="5"/>
    </row>
    <row r="888" spans="7:11" x14ac:dyDescent="0.35">
      <c r="G888" s="5"/>
      <c r="H888" s="5"/>
      <c r="K888" s="5"/>
    </row>
    <row r="889" spans="7:11" x14ac:dyDescent="0.35">
      <c r="G889" s="5"/>
      <c r="H889" s="5"/>
      <c r="K889" s="5"/>
    </row>
    <row r="890" spans="7:11" x14ac:dyDescent="0.35">
      <c r="G890" s="5"/>
      <c r="H890" s="5"/>
      <c r="K890" s="5"/>
    </row>
    <row r="891" spans="7:11" x14ac:dyDescent="0.35">
      <c r="G891" s="5"/>
      <c r="H891" s="5"/>
      <c r="K891" s="5"/>
    </row>
    <row r="892" spans="7:11" x14ac:dyDescent="0.35">
      <c r="G892" s="5"/>
      <c r="H892" s="5"/>
      <c r="K892" s="5"/>
    </row>
    <row r="893" spans="7:11" x14ac:dyDescent="0.35">
      <c r="G893" s="5"/>
      <c r="H893" s="5"/>
      <c r="K893" s="5"/>
    </row>
    <row r="894" spans="7:11" x14ac:dyDescent="0.35">
      <c r="G894" s="5"/>
      <c r="H894" s="5"/>
      <c r="K894" s="5"/>
    </row>
    <row r="895" spans="7:11" x14ac:dyDescent="0.35">
      <c r="G895" s="5"/>
      <c r="H895" s="5"/>
      <c r="K895" s="5"/>
    </row>
    <row r="896" spans="7:11" x14ac:dyDescent="0.35">
      <c r="G896" s="5"/>
      <c r="H896" s="5"/>
      <c r="K896" s="5"/>
    </row>
    <row r="897" spans="7:11" x14ac:dyDescent="0.35">
      <c r="G897" s="5"/>
      <c r="H897" s="5"/>
      <c r="K897" s="5"/>
    </row>
    <row r="898" spans="7:11" x14ac:dyDescent="0.35">
      <c r="G898" s="5"/>
      <c r="H898" s="5"/>
      <c r="K898" s="5"/>
    </row>
    <row r="899" spans="7:11" x14ac:dyDescent="0.35">
      <c r="G899" s="5"/>
      <c r="H899" s="5"/>
      <c r="K899" s="5"/>
    </row>
    <row r="900" spans="7:11" x14ac:dyDescent="0.35">
      <c r="G900" s="5"/>
      <c r="H900" s="5"/>
      <c r="K900" s="5"/>
    </row>
    <row r="901" spans="7:11" x14ac:dyDescent="0.35">
      <c r="G901" s="5"/>
      <c r="H901" s="5"/>
      <c r="K901" s="5"/>
    </row>
    <row r="902" spans="7:11" x14ac:dyDescent="0.35">
      <c r="G902" s="5"/>
      <c r="H902" s="5"/>
      <c r="K902" s="5"/>
    </row>
    <row r="903" spans="7:11" x14ac:dyDescent="0.35">
      <c r="G903" s="5"/>
      <c r="H903" s="5"/>
      <c r="K903" s="5"/>
    </row>
    <row r="904" spans="7:11" x14ac:dyDescent="0.35">
      <c r="G904" s="5"/>
      <c r="H904" s="5"/>
      <c r="K904" s="5"/>
    </row>
    <row r="905" spans="7:11" x14ac:dyDescent="0.35">
      <c r="G905" s="5"/>
      <c r="H905" s="5"/>
      <c r="K905" s="5"/>
    </row>
    <row r="906" spans="7:11" x14ac:dyDescent="0.35">
      <c r="G906" s="5"/>
      <c r="H906" s="5"/>
      <c r="K906" s="5"/>
    </row>
    <row r="907" spans="7:11" x14ac:dyDescent="0.35">
      <c r="G907" s="5"/>
      <c r="H907" s="5"/>
      <c r="K907" s="5"/>
    </row>
    <row r="908" spans="7:11" x14ac:dyDescent="0.35">
      <c r="G908" s="5"/>
      <c r="H908" s="5"/>
      <c r="K908" s="5"/>
    </row>
    <row r="909" spans="7:11" x14ac:dyDescent="0.35">
      <c r="G909" s="5"/>
      <c r="H909" s="5"/>
      <c r="K909" s="5"/>
    </row>
    <row r="910" spans="7:11" x14ac:dyDescent="0.35">
      <c r="G910" s="5"/>
      <c r="H910" s="5"/>
      <c r="K910" s="5"/>
    </row>
    <row r="911" spans="7:11" x14ac:dyDescent="0.35">
      <c r="G911" s="5"/>
      <c r="H911" s="5"/>
      <c r="K911" s="5"/>
    </row>
    <row r="912" spans="7:11" x14ac:dyDescent="0.35">
      <c r="G912" s="5"/>
      <c r="H912" s="5"/>
      <c r="K912" s="5"/>
    </row>
    <row r="913" spans="7:11" x14ac:dyDescent="0.35">
      <c r="G913" s="5"/>
      <c r="H913" s="5"/>
      <c r="K913" s="5"/>
    </row>
    <row r="914" spans="7:11" x14ac:dyDescent="0.35">
      <c r="G914" s="5"/>
      <c r="H914" s="5"/>
      <c r="K914" s="5"/>
    </row>
    <row r="915" spans="7:11" x14ac:dyDescent="0.35">
      <c r="G915" s="5"/>
      <c r="H915" s="5"/>
      <c r="K915" s="5"/>
    </row>
    <row r="916" spans="7:11" x14ac:dyDescent="0.35">
      <c r="G916" s="5"/>
      <c r="H916" s="5"/>
      <c r="K916" s="5"/>
    </row>
    <row r="917" spans="7:11" x14ac:dyDescent="0.35">
      <c r="G917" s="5"/>
      <c r="H917" s="5"/>
      <c r="K917" s="5"/>
    </row>
    <row r="918" spans="7:11" x14ac:dyDescent="0.35">
      <c r="G918" s="5"/>
      <c r="H918" s="5"/>
      <c r="K918" s="5"/>
    </row>
    <row r="919" spans="7:11" x14ac:dyDescent="0.35">
      <c r="G919" s="5"/>
      <c r="H919" s="5"/>
      <c r="K919" s="5"/>
    </row>
    <row r="920" spans="7:11" x14ac:dyDescent="0.35">
      <c r="G920" s="5"/>
      <c r="H920" s="5"/>
      <c r="K920" s="5"/>
    </row>
    <row r="921" spans="7:11" x14ac:dyDescent="0.35">
      <c r="G921" s="5"/>
      <c r="H921" s="5"/>
      <c r="K921" s="5"/>
    </row>
    <row r="922" spans="7:11" x14ac:dyDescent="0.35">
      <c r="G922" s="5"/>
      <c r="H922" s="5"/>
      <c r="K922" s="5"/>
    </row>
    <row r="923" spans="7:11" x14ac:dyDescent="0.35">
      <c r="G923" s="5"/>
      <c r="H923" s="5"/>
      <c r="K923" s="5"/>
    </row>
    <row r="924" spans="7:11" x14ac:dyDescent="0.35">
      <c r="G924" s="5"/>
      <c r="H924" s="5"/>
      <c r="K924" s="5"/>
    </row>
    <row r="925" spans="7:11" x14ac:dyDescent="0.35">
      <c r="G925" s="5"/>
      <c r="H925" s="5"/>
      <c r="K925" s="5"/>
    </row>
    <row r="926" spans="7:11" x14ac:dyDescent="0.35">
      <c r="G926" s="5"/>
      <c r="H926" s="5"/>
      <c r="K926" s="5"/>
    </row>
    <row r="927" spans="7:11" x14ac:dyDescent="0.35">
      <c r="G927" s="5"/>
      <c r="H927" s="5"/>
      <c r="K927" s="5"/>
    </row>
    <row r="928" spans="7:11" x14ac:dyDescent="0.35">
      <c r="G928" s="5"/>
      <c r="H928" s="5"/>
      <c r="K928" s="5"/>
    </row>
    <row r="929" spans="7:11" x14ac:dyDescent="0.35">
      <c r="G929" s="5"/>
      <c r="H929" s="5"/>
      <c r="K929" s="5"/>
    </row>
    <row r="930" spans="7:11" x14ac:dyDescent="0.35">
      <c r="G930" s="5"/>
      <c r="H930" s="5"/>
      <c r="K930" s="5"/>
    </row>
    <row r="931" spans="7:11" x14ac:dyDescent="0.35">
      <c r="G931" s="5"/>
      <c r="H931" s="5"/>
      <c r="K931" s="5"/>
    </row>
    <row r="932" spans="7:11" x14ac:dyDescent="0.35">
      <c r="G932" s="5"/>
      <c r="H932" s="5"/>
      <c r="K932" s="5"/>
    </row>
    <row r="933" spans="7:11" x14ac:dyDescent="0.35">
      <c r="G933" s="5"/>
      <c r="H933" s="5"/>
      <c r="K933" s="5"/>
    </row>
    <row r="934" spans="7:11" x14ac:dyDescent="0.35">
      <c r="G934" s="5"/>
      <c r="H934" s="5"/>
      <c r="K934" s="5"/>
    </row>
    <row r="935" spans="7:11" x14ac:dyDescent="0.35">
      <c r="G935" s="5"/>
      <c r="H935" s="5"/>
      <c r="K935" s="5"/>
    </row>
    <row r="936" spans="7:11" x14ac:dyDescent="0.35">
      <c r="G936" s="5"/>
      <c r="H936" s="5"/>
      <c r="K936" s="5"/>
    </row>
    <row r="937" spans="7:11" x14ac:dyDescent="0.35">
      <c r="G937" s="5"/>
      <c r="H937" s="5"/>
      <c r="K937" s="5"/>
    </row>
    <row r="938" spans="7:11" x14ac:dyDescent="0.35">
      <c r="G938" s="5"/>
      <c r="H938" s="5"/>
      <c r="K938" s="5"/>
    </row>
    <row r="939" spans="7:11" x14ac:dyDescent="0.35">
      <c r="G939" s="5"/>
      <c r="H939" s="5"/>
      <c r="K939" s="5"/>
    </row>
    <row r="940" spans="7:11" x14ac:dyDescent="0.35">
      <c r="G940" s="5"/>
      <c r="H940" s="5"/>
      <c r="K940" s="5"/>
    </row>
    <row r="941" spans="7:11" x14ac:dyDescent="0.35">
      <c r="G941" s="5"/>
      <c r="H941" s="5"/>
      <c r="K941" s="5"/>
    </row>
    <row r="942" spans="7:11" x14ac:dyDescent="0.35">
      <c r="G942" s="5"/>
      <c r="H942" s="5"/>
      <c r="K942" s="5"/>
    </row>
    <row r="943" spans="7:11" x14ac:dyDescent="0.35">
      <c r="G943" s="5"/>
      <c r="H943" s="5"/>
      <c r="K943" s="5"/>
    </row>
    <row r="944" spans="7:11" x14ac:dyDescent="0.35">
      <c r="G944" s="5"/>
      <c r="H944" s="5"/>
      <c r="K944" s="5"/>
    </row>
    <row r="945" spans="7:11" x14ac:dyDescent="0.35">
      <c r="G945" s="5"/>
      <c r="H945" s="5"/>
      <c r="K945" s="5"/>
    </row>
    <row r="946" spans="7:11" x14ac:dyDescent="0.35">
      <c r="G946" s="5"/>
      <c r="H946" s="5"/>
      <c r="K946" s="5"/>
    </row>
    <row r="947" spans="7:11" x14ac:dyDescent="0.35">
      <c r="G947" s="5"/>
      <c r="H947" s="5"/>
      <c r="K947" s="5"/>
    </row>
    <row r="948" spans="7:11" x14ac:dyDescent="0.35">
      <c r="G948" s="5"/>
      <c r="H948" s="5"/>
      <c r="K948" s="5"/>
    </row>
    <row r="949" spans="7:11" x14ac:dyDescent="0.35">
      <c r="G949" s="5"/>
      <c r="H949" s="5"/>
      <c r="K949" s="5"/>
    </row>
    <row r="950" spans="7:11" x14ac:dyDescent="0.35">
      <c r="G950" s="5"/>
      <c r="H950" s="5"/>
      <c r="K950" s="5"/>
    </row>
    <row r="951" spans="7:11" x14ac:dyDescent="0.35">
      <c r="G951" s="5"/>
      <c r="H951" s="5"/>
      <c r="K951" s="5"/>
    </row>
    <row r="952" spans="7:11" x14ac:dyDescent="0.35">
      <c r="G952" s="5"/>
      <c r="H952" s="5"/>
      <c r="K952" s="5"/>
    </row>
    <row r="953" spans="7:11" x14ac:dyDescent="0.35">
      <c r="G953" s="5"/>
      <c r="H953" s="5"/>
      <c r="K953" s="5"/>
    </row>
    <row r="954" spans="7:11" x14ac:dyDescent="0.35">
      <c r="G954" s="5"/>
      <c r="H954" s="5"/>
      <c r="K954" s="5"/>
    </row>
    <row r="955" spans="7:11" x14ac:dyDescent="0.35">
      <c r="G955" s="5"/>
      <c r="H955" s="5"/>
      <c r="K955" s="5"/>
    </row>
    <row r="956" spans="7:11" x14ac:dyDescent="0.35">
      <c r="G956" s="5"/>
      <c r="H956" s="5"/>
      <c r="K956" s="5"/>
    </row>
    <row r="957" spans="7:11" x14ac:dyDescent="0.35">
      <c r="G957" s="5"/>
      <c r="H957" s="5"/>
      <c r="K957" s="5"/>
    </row>
    <row r="958" spans="7:11" x14ac:dyDescent="0.35">
      <c r="G958" s="5"/>
      <c r="H958" s="5"/>
      <c r="K958" s="5"/>
    </row>
    <row r="959" spans="7:11" x14ac:dyDescent="0.35">
      <c r="G959" s="5"/>
      <c r="H959" s="5"/>
      <c r="K959" s="5"/>
    </row>
    <row r="960" spans="7:11" x14ac:dyDescent="0.35">
      <c r="G960" s="5"/>
      <c r="H960" s="5"/>
      <c r="K960" s="5"/>
    </row>
    <row r="961" spans="7:11" x14ac:dyDescent="0.35">
      <c r="G961" s="5"/>
      <c r="H961" s="5"/>
      <c r="K961" s="5"/>
    </row>
    <row r="962" spans="7:11" x14ac:dyDescent="0.35">
      <c r="G962" s="5"/>
      <c r="H962" s="5"/>
      <c r="K962" s="5"/>
    </row>
    <row r="963" spans="7:11" x14ac:dyDescent="0.35">
      <c r="G963" s="5"/>
      <c r="H963" s="5"/>
      <c r="K963" s="5"/>
    </row>
    <row r="964" spans="7:11" x14ac:dyDescent="0.35">
      <c r="G964" s="5"/>
      <c r="H964" s="5"/>
      <c r="K964" s="5"/>
    </row>
    <row r="965" spans="7:11" x14ac:dyDescent="0.35">
      <c r="G965" s="5"/>
      <c r="H965" s="5"/>
      <c r="K965" s="5"/>
    </row>
    <row r="966" spans="7:11" x14ac:dyDescent="0.35">
      <c r="G966" s="5"/>
      <c r="H966" s="5"/>
      <c r="K966" s="5"/>
    </row>
    <row r="967" spans="7:11" x14ac:dyDescent="0.35">
      <c r="G967" s="5"/>
      <c r="H967" s="5"/>
      <c r="K967" s="5"/>
    </row>
    <row r="968" spans="7:11" x14ac:dyDescent="0.35">
      <c r="G968" s="5"/>
      <c r="H968" s="5"/>
      <c r="K968" s="5"/>
    </row>
    <row r="969" spans="7:11" x14ac:dyDescent="0.35">
      <c r="G969" s="5"/>
      <c r="H969" s="5"/>
      <c r="K969" s="5"/>
    </row>
    <row r="970" spans="7:11" x14ac:dyDescent="0.35">
      <c r="G970" s="5"/>
      <c r="H970" s="5"/>
      <c r="K970" s="5"/>
    </row>
    <row r="971" spans="7:11" x14ac:dyDescent="0.35">
      <c r="G971" s="5"/>
      <c r="H971" s="5"/>
      <c r="K971" s="5"/>
    </row>
    <row r="972" spans="7:11" x14ac:dyDescent="0.35">
      <c r="G972" s="5"/>
      <c r="H972" s="5"/>
      <c r="K972" s="5"/>
    </row>
    <row r="973" spans="7:11" x14ac:dyDescent="0.35">
      <c r="G973" s="5"/>
      <c r="H973" s="5"/>
      <c r="K973" s="5"/>
    </row>
    <row r="974" spans="7:11" x14ac:dyDescent="0.35">
      <c r="G974" s="5"/>
      <c r="H974" s="5"/>
      <c r="K974" s="5"/>
    </row>
    <row r="975" spans="7:11" x14ac:dyDescent="0.35">
      <c r="G975" s="5"/>
      <c r="H975" s="5"/>
      <c r="K975" s="5"/>
    </row>
    <row r="976" spans="7:11" x14ac:dyDescent="0.35">
      <c r="G976" s="5"/>
      <c r="H976" s="5"/>
      <c r="K976" s="5"/>
    </row>
    <row r="977" spans="7:11" x14ac:dyDescent="0.35">
      <c r="G977" s="5"/>
      <c r="H977" s="5"/>
      <c r="K977" s="5"/>
    </row>
    <row r="978" spans="7:11" x14ac:dyDescent="0.35">
      <c r="G978" s="5"/>
      <c r="H978" s="5"/>
      <c r="K978" s="5"/>
    </row>
    <row r="979" spans="7:11" x14ac:dyDescent="0.35">
      <c r="G979" s="5"/>
      <c r="H979" s="5"/>
      <c r="K979" s="5"/>
    </row>
    <row r="980" spans="7:11" x14ac:dyDescent="0.35">
      <c r="G980" s="5"/>
      <c r="H980" s="5"/>
      <c r="K980" s="5"/>
    </row>
    <row r="981" spans="7:11" x14ac:dyDescent="0.35">
      <c r="G981" s="5"/>
      <c r="H981" s="5"/>
      <c r="K981" s="5"/>
    </row>
    <row r="982" spans="7:11" x14ac:dyDescent="0.35">
      <c r="G982" s="5"/>
      <c r="H982" s="5"/>
      <c r="K982" s="5"/>
    </row>
    <row r="983" spans="7:11" x14ac:dyDescent="0.35">
      <c r="G983" s="5"/>
      <c r="H983" s="5"/>
      <c r="K983" s="5"/>
    </row>
    <row r="984" spans="7:11" x14ac:dyDescent="0.35">
      <c r="G984" s="5"/>
      <c r="H984" s="5"/>
      <c r="K984" s="5"/>
    </row>
    <row r="985" spans="7:11" x14ac:dyDescent="0.35">
      <c r="G985" s="5"/>
      <c r="H985" s="5"/>
      <c r="K985" s="5"/>
    </row>
    <row r="986" spans="7:11" x14ac:dyDescent="0.35">
      <c r="G986" s="5"/>
      <c r="H986" s="5"/>
      <c r="K986" s="5"/>
    </row>
    <row r="987" spans="7:11" x14ac:dyDescent="0.35">
      <c r="G987" s="5"/>
      <c r="H987" s="5"/>
      <c r="K987" s="5"/>
    </row>
    <row r="988" spans="7:11" x14ac:dyDescent="0.35">
      <c r="G988" s="5"/>
      <c r="H988" s="5"/>
      <c r="K988" s="5"/>
    </row>
    <row r="989" spans="7:11" x14ac:dyDescent="0.35">
      <c r="G989" s="5"/>
      <c r="H989" s="5"/>
      <c r="K989" s="5"/>
    </row>
    <row r="990" spans="7:11" x14ac:dyDescent="0.35">
      <c r="G990" s="5"/>
      <c r="H990" s="5"/>
      <c r="K990" s="5"/>
    </row>
    <row r="991" spans="7:11" x14ac:dyDescent="0.35">
      <c r="G991" s="5"/>
      <c r="H991" s="5"/>
      <c r="K991" s="5"/>
    </row>
    <row r="992" spans="7:11" x14ac:dyDescent="0.35">
      <c r="G992" s="5"/>
      <c r="H992" s="5"/>
      <c r="K992" s="5"/>
    </row>
    <row r="993" spans="7:11" x14ac:dyDescent="0.35">
      <c r="G993" s="5"/>
      <c r="H993" s="5"/>
      <c r="K993" s="5"/>
    </row>
    <row r="994" spans="7:11" x14ac:dyDescent="0.35">
      <c r="G994" s="5"/>
      <c r="H994" s="5"/>
      <c r="K994" s="5"/>
    </row>
    <row r="995" spans="7:11" x14ac:dyDescent="0.35">
      <c r="G995" s="5"/>
      <c r="H995" s="5"/>
      <c r="K995" s="5"/>
    </row>
    <row r="996" spans="7:11" x14ac:dyDescent="0.35">
      <c r="G996" s="5"/>
      <c r="H996" s="5"/>
      <c r="K996" s="5"/>
    </row>
    <row r="997" spans="7:11" x14ac:dyDescent="0.35">
      <c r="G997" s="5"/>
      <c r="H997" s="5"/>
      <c r="K997" s="5"/>
    </row>
    <row r="998" spans="7:11" x14ac:dyDescent="0.35">
      <c r="G998" s="5"/>
      <c r="H998" s="5"/>
      <c r="K998" s="5"/>
    </row>
    <row r="999" spans="7:11" x14ac:dyDescent="0.35">
      <c r="G999" s="5"/>
      <c r="H999" s="5"/>
      <c r="K999" s="5"/>
    </row>
    <row r="1000" spans="7:11" x14ac:dyDescent="0.35">
      <c r="G1000" s="5"/>
      <c r="H1000" s="5"/>
      <c r="K1000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15E4-0B0B-4E7F-9C24-02C986BB5BBB}">
  <dimension ref="A1:L22"/>
  <sheetViews>
    <sheetView workbookViewId="0"/>
  </sheetViews>
  <sheetFormatPr defaultRowHeight="14.5" x14ac:dyDescent="0.35"/>
  <cols>
    <col min="1" max="1" width="21.54296875" bestFit="1" customWidth="1"/>
    <col min="2" max="2" width="22" bestFit="1" customWidth="1"/>
    <col min="3" max="3" width="8.36328125" bestFit="1" customWidth="1"/>
    <col min="4" max="4" width="18" bestFit="1" customWidth="1"/>
    <col min="5" max="5" width="16.6328125" bestFit="1" customWidth="1"/>
    <col min="7" max="7" width="20.81640625" bestFit="1" customWidth="1"/>
    <col min="8" max="8" width="24.54296875" bestFit="1" customWidth="1"/>
    <col min="10" max="10" width="26.54296875" bestFit="1" customWidth="1"/>
    <col min="11" max="11" width="34.08984375" bestFit="1" customWidth="1"/>
    <col min="12" max="12" width="8.36328125" bestFit="1" customWidth="1"/>
  </cols>
  <sheetData>
    <row r="1" spans="1:12" x14ac:dyDescent="0.35">
      <c r="A1" s="2" t="s">
        <v>273</v>
      </c>
      <c r="D1" s="2" t="s">
        <v>282</v>
      </c>
      <c r="G1" s="2" t="s">
        <v>294</v>
      </c>
      <c r="J1" s="2" t="s">
        <v>314</v>
      </c>
    </row>
    <row r="2" spans="1:12" x14ac:dyDescent="0.35">
      <c r="A2" t="s">
        <v>274</v>
      </c>
      <c r="B2" t="s">
        <v>275</v>
      </c>
      <c r="D2" t="s">
        <v>283</v>
      </c>
      <c r="E2" t="s">
        <v>284</v>
      </c>
      <c r="G2" t="s">
        <v>295</v>
      </c>
      <c r="H2" t="s">
        <v>296</v>
      </c>
      <c r="J2" t="s">
        <v>315</v>
      </c>
      <c r="K2" t="s">
        <v>316</v>
      </c>
      <c r="L2" t="s">
        <v>317</v>
      </c>
    </row>
    <row r="3" spans="1:12" x14ac:dyDescent="0.35">
      <c r="A3" t="s">
        <v>276</v>
      </c>
      <c r="B3" t="s">
        <v>16</v>
      </c>
      <c r="D3" t="s">
        <v>285</v>
      </c>
      <c r="E3" t="s">
        <v>17</v>
      </c>
      <c r="G3" t="s">
        <v>297</v>
      </c>
      <c r="H3" t="s">
        <v>84</v>
      </c>
      <c r="J3" t="s">
        <v>318</v>
      </c>
      <c r="K3" t="s">
        <v>319</v>
      </c>
      <c r="L3" t="s">
        <v>320</v>
      </c>
    </row>
    <row r="4" spans="1:12" x14ac:dyDescent="0.35">
      <c r="A4" t="s">
        <v>277</v>
      </c>
      <c r="B4" t="s">
        <v>214</v>
      </c>
      <c r="D4" t="s">
        <v>286</v>
      </c>
      <c r="E4" t="s">
        <v>287</v>
      </c>
      <c r="G4" t="s">
        <v>298</v>
      </c>
      <c r="H4" t="s">
        <v>299</v>
      </c>
      <c r="J4" t="s">
        <v>321</v>
      </c>
      <c r="K4" t="s">
        <v>115</v>
      </c>
      <c r="L4" t="s">
        <v>322</v>
      </c>
    </row>
    <row r="5" spans="1:12" x14ac:dyDescent="0.35">
      <c r="A5" t="s">
        <v>278</v>
      </c>
      <c r="B5" t="s">
        <v>200</v>
      </c>
      <c r="D5" t="s">
        <v>288</v>
      </c>
      <c r="E5" t="s">
        <v>289</v>
      </c>
      <c r="G5" t="s">
        <v>300</v>
      </c>
      <c r="H5" t="s">
        <v>105</v>
      </c>
      <c r="J5" t="s">
        <v>323</v>
      </c>
      <c r="K5" t="s">
        <v>271</v>
      </c>
      <c r="L5" t="s">
        <v>324</v>
      </c>
    </row>
    <row r="6" spans="1:12" x14ac:dyDescent="0.35">
      <c r="A6" t="s">
        <v>279</v>
      </c>
      <c r="B6" t="s">
        <v>207</v>
      </c>
      <c r="D6" t="s">
        <v>290</v>
      </c>
      <c r="E6" t="s">
        <v>291</v>
      </c>
      <c r="G6" t="s">
        <v>301</v>
      </c>
      <c r="H6" t="s">
        <v>302</v>
      </c>
      <c r="J6" t="s">
        <v>325</v>
      </c>
      <c r="K6" t="s">
        <v>93</v>
      </c>
      <c r="L6" t="s">
        <v>326</v>
      </c>
    </row>
    <row r="7" spans="1:12" x14ac:dyDescent="0.35">
      <c r="A7" t="s">
        <v>280</v>
      </c>
      <c r="B7" t="s">
        <v>281</v>
      </c>
      <c r="D7" t="s">
        <v>292</v>
      </c>
      <c r="E7" t="s">
        <v>293</v>
      </c>
      <c r="G7" t="s">
        <v>303</v>
      </c>
      <c r="H7" t="s">
        <v>304</v>
      </c>
      <c r="J7" t="s">
        <v>327</v>
      </c>
      <c r="K7" t="s">
        <v>328</v>
      </c>
      <c r="L7" t="s">
        <v>329</v>
      </c>
    </row>
    <row r="8" spans="1:12" x14ac:dyDescent="0.35">
      <c r="G8" t="s">
        <v>305</v>
      </c>
      <c r="H8" t="s">
        <v>306</v>
      </c>
    </row>
    <row r="9" spans="1:12" x14ac:dyDescent="0.35">
      <c r="G9" t="s">
        <v>307</v>
      </c>
      <c r="H9" t="s">
        <v>308</v>
      </c>
    </row>
    <row r="10" spans="1:12" x14ac:dyDescent="0.35">
      <c r="A10" s="2" t="s">
        <v>330</v>
      </c>
      <c r="D10" s="2" t="s">
        <v>348</v>
      </c>
      <c r="G10" t="s">
        <v>309</v>
      </c>
      <c r="H10" t="s">
        <v>310</v>
      </c>
      <c r="J10" s="2" t="s">
        <v>376</v>
      </c>
    </row>
    <row r="11" spans="1:12" x14ac:dyDescent="0.35">
      <c r="A11" t="s">
        <v>331</v>
      </c>
      <c r="B11" t="s">
        <v>332</v>
      </c>
      <c r="C11" t="s">
        <v>317</v>
      </c>
      <c r="D11" t="s">
        <v>349</v>
      </c>
      <c r="E11" t="s">
        <v>350</v>
      </c>
      <c r="G11" t="s">
        <v>311</v>
      </c>
      <c r="H11" t="s">
        <v>312</v>
      </c>
      <c r="J11" t="s">
        <v>377</v>
      </c>
      <c r="K11" t="s">
        <v>378</v>
      </c>
    </row>
    <row r="12" spans="1:12" x14ac:dyDescent="0.35">
      <c r="A12" t="s">
        <v>333</v>
      </c>
      <c r="B12" t="s">
        <v>334</v>
      </c>
      <c r="C12" t="s">
        <v>329</v>
      </c>
      <c r="D12" t="s">
        <v>351</v>
      </c>
      <c r="E12" t="s">
        <v>228</v>
      </c>
      <c r="G12" t="s">
        <v>313</v>
      </c>
      <c r="H12" t="s">
        <v>182</v>
      </c>
      <c r="J12" t="s">
        <v>379</v>
      </c>
      <c r="K12">
        <v>3</v>
      </c>
    </row>
    <row r="13" spans="1:12" x14ac:dyDescent="0.35">
      <c r="A13" t="s">
        <v>335</v>
      </c>
      <c r="B13" t="s">
        <v>111</v>
      </c>
      <c r="C13" t="s">
        <v>324</v>
      </c>
      <c r="D13" t="s">
        <v>352</v>
      </c>
      <c r="E13" t="s">
        <v>232</v>
      </c>
      <c r="J13" t="s">
        <v>380</v>
      </c>
      <c r="K13" t="s">
        <v>381</v>
      </c>
    </row>
    <row r="14" spans="1:12" x14ac:dyDescent="0.35">
      <c r="A14" t="s">
        <v>336</v>
      </c>
      <c r="B14" t="s">
        <v>94</v>
      </c>
      <c r="C14" t="s">
        <v>326</v>
      </c>
      <c r="D14" t="s">
        <v>353</v>
      </c>
      <c r="E14" t="s">
        <v>253</v>
      </c>
      <c r="J14" t="s">
        <v>382</v>
      </c>
      <c r="K14" t="s">
        <v>383</v>
      </c>
    </row>
    <row r="15" spans="1:12" x14ac:dyDescent="0.35">
      <c r="A15" t="s">
        <v>337</v>
      </c>
      <c r="B15" t="s">
        <v>116</v>
      </c>
      <c r="C15" t="s">
        <v>338</v>
      </c>
      <c r="D15" t="s">
        <v>354</v>
      </c>
      <c r="E15" t="s">
        <v>245</v>
      </c>
      <c r="G15" s="2" t="s">
        <v>365</v>
      </c>
      <c r="J15" t="s">
        <v>384</v>
      </c>
      <c r="K15" s="8">
        <v>0.25</v>
      </c>
    </row>
    <row r="16" spans="1:12" x14ac:dyDescent="0.35">
      <c r="A16" t="s">
        <v>339</v>
      </c>
      <c r="B16" t="s">
        <v>340</v>
      </c>
      <c r="C16" t="s">
        <v>338</v>
      </c>
      <c r="D16" t="s">
        <v>355</v>
      </c>
      <c r="E16" t="s">
        <v>356</v>
      </c>
      <c r="G16" t="s">
        <v>366</v>
      </c>
      <c r="H16" t="s">
        <v>367</v>
      </c>
      <c r="J16" t="s">
        <v>385</v>
      </c>
      <c r="K16" t="s">
        <v>386</v>
      </c>
    </row>
    <row r="17" spans="1:11" x14ac:dyDescent="0.35">
      <c r="A17" t="s">
        <v>341</v>
      </c>
      <c r="B17" t="s">
        <v>342</v>
      </c>
      <c r="C17" t="s">
        <v>320</v>
      </c>
      <c r="D17" t="s">
        <v>357</v>
      </c>
      <c r="E17" t="s">
        <v>358</v>
      </c>
      <c r="G17" t="s">
        <v>368</v>
      </c>
      <c r="H17" t="s">
        <v>266</v>
      </c>
      <c r="J17" t="s">
        <v>387</v>
      </c>
      <c r="K17">
        <v>24</v>
      </c>
    </row>
    <row r="18" spans="1:11" x14ac:dyDescent="0.35">
      <c r="A18" t="s">
        <v>343</v>
      </c>
      <c r="B18" t="s">
        <v>344</v>
      </c>
      <c r="C18" t="s">
        <v>324</v>
      </c>
      <c r="D18" t="s">
        <v>359</v>
      </c>
      <c r="E18" t="s">
        <v>360</v>
      </c>
      <c r="G18" t="s">
        <v>369</v>
      </c>
      <c r="H18" t="s">
        <v>111</v>
      </c>
      <c r="J18" t="s">
        <v>388</v>
      </c>
      <c r="K18">
        <v>60</v>
      </c>
    </row>
    <row r="19" spans="1:11" x14ac:dyDescent="0.35">
      <c r="A19" t="s">
        <v>345</v>
      </c>
      <c r="B19" t="s">
        <v>346</v>
      </c>
      <c r="C19" t="s">
        <v>347</v>
      </c>
      <c r="D19" t="s">
        <v>361</v>
      </c>
      <c r="E19" t="s">
        <v>249</v>
      </c>
      <c r="G19" t="s">
        <v>370</v>
      </c>
      <c r="H19" t="s">
        <v>371</v>
      </c>
      <c r="J19" t="s">
        <v>389</v>
      </c>
      <c r="K19">
        <v>16</v>
      </c>
    </row>
    <row r="20" spans="1:11" x14ac:dyDescent="0.35">
      <c r="D20" t="s">
        <v>362</v>
      </c>
      <c r="E20" t="s">
        <v>363</v>
      </c>
      <c r="G20" t="s">
        <v>372</v>
      </c>
      <c r="H20" t="s">
        <v>373</v>
      </c>
      <c r="J20" t="s">
        <v>390</v>
      </c>
      <c r="K20">
        <v>1</v>
      </c>
    </row>
    <row r="21" spans="1:11" x14ac:dyDescent="0.35">
      <c r="D21" t="s">
        <v>364</v>
      </c>
      <c r="E21" t="s">
        <v>182</v>
      </c>
      <c r="G21" t="s">
        <v>374</v>
      </c>
      <c r="H21" t="s">
        <v>94</v>
      </c>
    </row>
    <row r="22" spans="1:11" x14ac:dyDescent="0.35">
      <c r="G22" t="s">
        <v>375</v>
      </c>
      <c r="H22" t="s">
        <v>342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4949-6B67-49C6-B20A-5D06075AA87F}">
  <dimension ref="A1:H6"/>
  <sheetViews>
    <sheetView workbookViewId="0"/>
  </sheetViews>
  <sheetFormatPr defaultRowHeight="14.5" x14ac:dyDescent="0.35"/>
  <cols>
    <col min="1" max="1" width="9" bestFit="1" customWidth="1"/>
    <col min="2" max="2" width="14.26953125" customWidth="1"/>
    <col min="3" max="3" width="15.08984375" bestFit="1" customWidth="1"/>
    <col min="4" max="4" width="17.81640625" bestFit="1" customWidth="1"/>
    <col min="5" max="5" width="16.7265625" customWidth="1"/>
    <col min="6" max="6" width="18.54296875" customWidth="1"/>
    <col min="7" max="7" width="17.6328125" customWidth="1"/>
    <col min="8" max="8" width="22" bestFit="1" customWidth="1"/>
  </cols>
  <sheetData>
    <row r="1" spans="1:8" x14ac:dyDescent="0.35">
      <c r="A1" s="3" t="s">
        <v>391</v>
      </c>
      <c r="B1" s="3" t="s">
        <v>33</v>
      </c>
      <c r="C1" s="3" t="s">
        <v>392</v>
      </c>
      <c r="D1" s="3" t="s">
        <v>40</v>
      </c>
      <c r="E1" s="3" t="s">
        <v>393</v>
      </c>
      <c r="F1" s="3" t="s">
        <v>394</v>
      </c>
      <c r="G1" s="3" t="s">
        <v>395</v>
      </c>
      <c r="H1" s="3" t="s">
        <v>396</v>
      </c>
    </row>
    <row r="2" spans="1:8" x14ac:dyDescent="0.35">
      <c r="A2" t="s">
        <v>397</v>
      </c>
      <c r="B2" t="s">
        <v>76</v>
      </c>
      <c r="C2" s="9">
        <v>46230.354166666664</v>
      </c>
      <c r="D2" t="s">
        <v>12</v>
      </c>
      <c r="E2" t="s">
        <v>398</v>
      </c>
      <c r="F2" t="s">
        <v>399</v>
      </c>
      <c r="G2" t="s">
        <v>399</v>
      </c>
      <c r="H2" t="s">
        <v>400</v>
      </c>
    </row>
    <row r="3" spans="1:8" x14ac:dyDescent="0.35">
      <c r="A3" t="s">
        <v>401</v>
      </c>
      <c r="B3" t="s">
        <v>76</v>
      </c>
      <c r="C3" s="9">
        <v>46230.489583333336</v>
      </c>
      <c r="D3" t="s">
        <v>12</v>
      </c>
      <c r="E3" t="s">
        <v>402</v>
      </c>
      <c r="F3" t="s">
        <v>69</v>
      </c>
      <c r="G3" t="s">
        <v>111</v>
      </c>
      <c r="H3" t="s">
        <v>94</v>
      </c>
    </row>
    <row r="4" spans="1:8" x14ac:dyDescent="0.35">
      <c r="A4" t="s">
        <v>403</v>
      </c>
      <c r="B4" t="s">
        <v>97</v>
      </c>
      <c r="C4" s="9">
        <v>46230.583333333336</v>
      </c>
      <c r="D4" t="s">
        <v>12</v>
      </c>
      <c r="E4" t="s">
        <v>398</v>
      </c>
      <c r="F4" t="s">
        <v>399</v>
      </c>
      <c r="G4" t="s">
        <v>399</v>
      </c>
      <c r="H4" t="s">
        <v>400</v>
      </c>
    </row>
    <row r="5" spans="1:8" x14ac:dyDescent="0.35">
      <c r="A5" t="s">
        <v>404</v>
      </c>
      <c r="B5" t="s">
        <v>97</v>
      </c>
      <c r="C5" s="9">
        <v>46230.71875</v>
      </c>
      <c r="D5" t="s">
        <v>12</v>
      </c>
      <c r="E5" t="s">
        <v>402</v>
      </c>
      <c r="F5" t="s">
        <v>69</v>
      </c>
      <c r="G5" t="s">
        <v>111</v>
      </c>
      <c r="H5" t="s">
        <v>116</v>
      </c>
    </row>
    <row r="6" spans="1:8" x14ac:dyDescent="0.35">
      <c r="A6" t="s">
        <v>405</v>
      </c>
      <c r="B6" t="s">
        <v>97</v>
      </c>
      <c r="C6" s="9">
        <v>46230.719444444447</v>
      </c>
      <c r="D6" t="s">
        <v>12</v>
      </c>
      <c r="E6" t="s">
        <v>406</v>
      </c>
      <c r="F6" t="s">
        <v>70</v>
      </c>
      <c r="G6">
        <v>4</v>
      </c>
      <c r="H6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97C6-79D3-40BA-B48A-788B1BE60C8B}">
  <dimension ref="A1:H39"/>
  <sheetViews>
    <sheetView tabSelected="1" workbookViewId="0">
      <selection activeCell="I12" sqref="I12"/>
    </sheetView>
  </sheetViews>
  <sheetFormatPr defaultRowHeight="14.5" x14ac:dyDescent="0.35"/>
  <cols>
    <col min="1" max="1" width="40.90625" bestFit="1" customWidth="1"/>
    <col min="2" max="2" width="10.6328125" bestFit="1" customWidth="1"/>
    <col min="3" max="3" width="10.36328125" bestFit="1" customWidth="1"/>
    <col min="4" max="4" width="23.1796875" bestFit="1" customWidth="1"/>
    <col min="5" max="5" width="23.7265625" bestFit="1" customWidth="1"/>
    <col min="6" max="6" width="10.6328125" bestFit="1" customWidth="1"/>
    <col min="7" max="7" width="9.90625" bestFit="1" customWidth="1"/>
  </cols>
  <sheetData>
    <row r="1" spans="1:8" ht="35" customHeight="1" x14ac:dyDescent="0.55000000000000004">
      <c r="A1" s="11" t="s">
        <v>407</v>
      </c>
      <c r="B1" s="10"/>
      <c r="C1" s="10"/>
      <c r="D1" s="10"/>
      <c r="E1" s="10"/>
      <c r="F1" s="10"/>
      <c r="G1" s="10"/>
      <c r="H1" s="10"/>
    </row>
    <row r="3" spans="1:8" x14ac:dyDescent="0.35">
      <c r="A3" s="12" t="s">
        <v>408</v>
      </c>
      <c r="D3" s="13" t="s">
        <v>414</v>
      </c>
      <c r="E3" s="13"/>
      <c r="F3" s="13"/>
      <c r="G3" s="13"/>
      <c r="H3" s="13"/>
    </row>
    <row r="4" spans="1:8" ht="21" x14ac:dyDescent="0.5">
      <c r="A4" t="s">
        <v>409</v>
      </c>
      <c r="B4" s="5">
        <v>46204</v>
      </c>
      <c r="D4" s="14" t="s">
        <v>415</v>
      </c>
      <c r="E4" s="15">
        <f>COUNTA(TBL_REGISTROS_ATIVIDADES[ID_ATIVIDADE])</f>
        <v>2</v>
      </c>
    </row>
    <row r="5" spans="1:8" ht="21" x14ac:dyDescent="0.5">
      <c r="A5" t="s">
        <v>410</v>
      </c>
      <c r="B5" s="5">
        <v>46234</v>
      </c>
      <c r="D5" s="14" t="s">
        <v>416</v>
      </c>
      <c r="E5" s="15">
        <f>COUNTIF(TBL_REGISTROS_ATIVIDADES[STATUS_ATIVIDADE],"Concluída")</f>
        <v>1</v>
      </c>
    </row>
    <row r="6" spans="1:8" ht="21" x14ac:dyDescent="0.5">
      <c r="A6" t="s">
        <v>411</v>
      </c>
      <c r="B6" t="s">
        <v>31</v>
      </c>
      <c r="D6" s="14" t="s">
        <v>417</v>
      </c>
      <c r="E6" s="15">
        <f>COUNTIF(TBL_REGISTROS_ATIVIDADES[EXISTE_PENDENCIA],"Sim")</f>
        <v>1</v>
      </c>
    </row>
    <row r="7" spans="1:8" ht="21" x14ac:dyDescent="0.5">
      <c r="A7" t="s">
        <v>412</v>
      </c>
      <c r="B7" t="s">
        <v>32</v>
      </c>
      <c r="D7" s="14" t="s">
        <v>418</v>
      </c>
      <c r="E7" s="15">
        <f ca="1">COUNTIFS(TBL_ACOES_PENDENCIAS[STATUS_ACAO],"&lt;&gt;Concluída",TBL_ACOES_PENDENCIAS[PRAZO],"&lt;"&amp;TODAY())</f>
        <v>0</v>
      </c>
    </row>
    <row r="8" spans="1:8" ht="21" x14ac:dyDescent="0.5">
      <c r="A8" t="s">
        <v>413</v>
      </c>
      <c r="B8" t="s">
        <v>31</v>
      </c>
      <c r="D8" s="14" t="s">
        <v>419</v>
      </c>
      <c r="E8" s="15">
        <f>COUNTIF(TBL_REGISTROS_ATIVIDADES[EXISTE_NAO_CONFORMIDADE],"Sim")</f>
        <v>1</v>
      </c>
    </row>
    <row r="9" spans="1:8" ht="21" x14ac:dyDescent="0.5">
      <c r="D9" s="14" t="s">
        <v>420</v>
      </c>
      <c r="E9" s="15">
        <f>COUNTA(_xlfn.UNIQUE(TBL_REGISTROS_ATIVIDADES[ID_TECNICO]))</f>
        <v>1</v>
      </c>
    </row>
    <row r="10" spans="1:8" ht="21" x14ac:dyDescent="0.5">
      <c r="D10" s="14" t="s">
        <v>421</v>
      </c>
      <c r="E10" s="15">
        <f>COUNTA(_xlfn.UNIQUE(TBL_REGISTROS_ATIVIDADES[ID_PARCEIRA]))</f>
        <v>2</v>
      </c>
    </row>
    <row r="11" spans="1:8" ht="21" x14ac:dyDescent="0.5">
      <c r="D11" s="14" t="s">
        <v>422</v>
      </c>
      <c r="E11" s="15">
        <f>COUNTA(_xlfn.UNIQUE(TBL_REGISTROS_ATIVIDADES[NUMERO_PROJETO]))</f>
        <v>2</v>
      </c>
    </row>
    <row r="12" spans="1:8" ht="21" x14ac:dyDescent="0.5">
      <c r="D12" s="14" t="s">
        <v>423</v>
      </c>
      <c r="E12" s="15">
        <f>COUNTIF(TBL_REGISTROS_ATIVIDADES[QUANTIDADE_FOTOS],"&gt;0")</f>
        <v>2</v>
      </c>
    </row>
    <row r="13" spans="1:8" ht="21" x14ac:dyDescent="0.5">
      <c r="D13" s="16" t="s">
        <v>424</v>
      </c>
      <c r="E13" s="17">
        <f>COUNTA(_xlfn.UNIQUE(TBL_REGISTROS_ATIVIDADES[MUNICIPIO]))</f>
        <v>1</v>
      </c>
    </row>
    <row r="15" spans="1:8" x14ac:dyDescent="0.35">
      <c r="A15" s="13" t="s">
        <v>425</v>
      </c>
      <c r="B15" s="13"/>
      <c r="C15" s="13"/>
      <c r="E15" s="2" t="s">
        <v>429</v>
      </c>
    </row>
    <row r="16" spans="1:8" x14ac:dyDescent="0.35">
      <c r="A16" s="12" t="s">
        <v>426</v>
      </c>
      <c r="B16" s="12" t="s">
        <v>427</v>
      </c>
      <c r="C16" s="12" t="s">
        <v>428</v>
      </c>
      <c r="E16" s="12" t="s">
        <v>430</v>
      </c>
      <c r="F16" s="12" t="s">
        <v>427</v>
      </c>
      <c r="G16" s="12" t="s">
        <v>428</v>
      </c>
    </row>
    <row r="17" spans="1:7" x14ac:dyDescent="0.35">
      <c r="A17" t="s">
        <v>94</v>
      </c>
      <c r="B17">
        <f>COUNTIF(TBL_REGISTROS_ATIVIDADES[STATUS_ATIVIDADE],"Concluída")</f>
        <v>1</v>
      </c>
      <c r="C17" s="18">
        <f>IF($E$4&gt;0,B17/$E$4,0)</f>
        <v>0.5</v>
      </c>
      <c r="E17" t="s">
        <v>79</v>
      </c>
      <c r="F17">
        <f>COUNTIF(TBL_REGISTROS_ATIVIDADES[NOME_PARCEIRA],"Start Engenharia")</f>
        <v>1</v>
      </c>
      <c r="G17" s="18">
        <f>IF($E$4&gt;0,F17/$E$4,0)</f>
        <v>0.5</v>
      </c>
    </row>
    <row r="18" spans="1:7" x14ac:dyDescent="0.35">
      <c r="A18" t="s">
        <v>116</v>
      </c>
      <c r="B18">
        <f>COUNTIF(TBL_REGISTROS_ATIVIDADES[STATUS_ATIVIDADE],"Concluída com pendência")</f>
        <v>1</v>
      </c>
      <c r="C18" s="18">
        <f>IF($E$4&gt;0,B18/$E$4,0)</f>
        <v>0.5</v>
      </c>
      <c r="E18" t="s">
        <v>100</v>
      </c>
      <c r="F18">
        <f>COUNTIF(TBL_REGISTROS_ATIVIDADES[NOME_PARCEIRA],"Essencial Energia")</f>
        <v>1</v>
      </c>
      <c r="G18" s="18">
        <f>IF($E$4&gt;0,F18/$E$4,0)</f>
        <v>0.5</v>
      </c>
    </row>
    <row r="19" spans="1:7" x14ac:dyDescent="0.35">
      <c r="A19" t="s">
        <v>111</v>
      </c>
      <c r="B19">
        <f>COUNTIF(TBL_REGISTROS_ATIVIDADES[STATUS_ATIVIDADE],"Em andamento")</f>
        <v>0</v>
      </c>
      <c r="C19" s="18">
        <f>IF($E$4&gt;0,B19/$E$4,0)</f>
        <v>0</v>
      </c>
      <c r="E19" t="s">
        <v>195</v>
      </c>
      <c r="F19">
        <f>COUNTIF(TBL_REGISTROS_ATIVIDADES[NOME_PARCEIRA],"PSC Energy")</f>
        <v>0</v>
      </c>
      <c r="G19" s="18">
        <f>IF($E$4&gt;0,F19/$E$4,0)</f>
        <v>0</v>
      </c>
    </row>
    <row r="20" spans="1:7" x14ac:dyDescent="0.35">
      <c r="A20" t="s">
        <v>340</v>
      </c>
      <c r="B20">
        <f>COUNTIF(TBL_REGISTROS_ATIVIDADES[STATUS_ATIVIDADE],"Parcial")</f>
        <v>0</v>
      </c>
      <c r="C20" s="18">
        <f>IF($E$4&gt;0,B20/$E$4,0)</f>
        <v>0</v>
      </c>
      <c r="E20" t="s">
        <v>202</v>
      </c>
      <c r="F20">
        <f>COUNTIF(TBL_REGISTROS_ATIVIDADES[NOME_PARCEIRA],"Conecta Empreendimentos")</f>
        <v>0</v>
      </c>
      <c r="G20" s="18">
        <f>IF($E$4&gt;0,F20/$E$4,0)</f>
        <v>0</v>
      </c>
    </row>
    <row r="21" spans="1:7" x14ac:dyDescent="0.35">
      <c r="A21" t="s">
        <v>342</v>
      </c>
      <c r="B21">
        <f>COUNTIF(TBL_REGISTROS_ATIVIDADES[STATUS_ATIVIDADE],"Cancelada")</f>
        <v>0</v>
      </c>
      <c r="C21" s="18">
        <f>IF($E$4&gt;0,B21/$E$4,0)</f>
        <v>0</v>
      </c>
      <c r="E21" t="s">
        <v>209</v>
      </c>
      <c r="F21">
        <f>COUNTIF(TBL_REGISTROS_ATIVIDADES[NOME_PARCEIRA],"Engelmig")</f>
        <v>0</v>
      </c>
      <c r="G21" s="18">
        <f>IF($E$4&gt;0,F21/$E$4,0)</f>
        <v>0</v>
      </c>
    </row>
    <row r="22" spans="1:7" x14ac:dyDescent="0.35">
      <c r="A22" t="s">
        <v>334</v>
      </c>
      <c r="B22">
        <f>COUNTIF(TBL_REGISTROS_ATIVIDADES[STATUS_ATIVIDADE],"Rascunho")</f>
        <v>0</v>
      </c>
      <c r="C22" s="18">
        <f>IF($E$4&gt;0,B22/$E$4,0)</f>
        <v>0</v>
      </c>
      <c r="E22" t="s">
        <v>180</v>
      </c>
      <c r="F22">
        <f>COUNTIF(TBL_REGISTROS_ATIVIDADES[NOME_PARCEIRA],"Outras")</f>
        <v>0</v>
      </c>
      <c r="G22" s="18">
        <f>IF($E$4&gt;0,F22/$E$4,0)</f>
        <v>0</v>
      </c>
    </row>
    <row r="25" spans="1:7" x14ac:dyDescent="0.35">
      <c r="A25" s="2" t="s">
        <v>431</v>
      </c>
      <c r="E25" s="2" t="s">
        <v>433</v>
      </c>
    </row>
    <row r="26" spans="1:7" x14ac:dyDescent="0.35">
      <c r="A26" s="12" t="s">
        <v>432</v>
      </c>
      <c r="B26" s="12" t="s">
        <v>427</v>
      </c>
      <c r="C26" s="12" t="s">
        <v>428</v>
      </c>
      <c r="E26" s="12" t="s">
        <v>426</v>
      </c>
      <c r="F26" s="12" t="s">
        <v>427</v>
      </c>
      <c r="G26" s="12" t="s">
        <v>428</v>
      </c>
    </row>
    <row r="27" spans="1:7" x14ac:dyDescent="0.35">
      <c r="A27" t="s">
        <v>77</v>
      </c>
      <c r="B27">
        <f>COUNTIF(TBL_REGISTROS_ATIVIDADES[TIPO_ATIVIDADE],"Fiscalização de segurança em equipe de parceira")</f>
        <v>1</v>
      </c>
      <c r="C27" s="18">
        <f>IF($E$4&gt;0,B27/$E$4,0)</f>
        <v>0.5</v>
      </c>
      <c r="E27" t="s">
        <v>266</v>
      </c>
      <c r="F27">
        <f>COUNTIF(TBL_ACOES_PENDENCIAS[STATUS_ACAO],"Aberta")</f>
        <v>1</v>
      </c>
      <c r="G27" s="18">
        <f>IF(COUNTA(TBL_ACOES_PENDENCIAS[ID_ACAO])&gt;0,F27/COUNTA(TBL_ACOES_PENDENCIAS[ID_ACAO]),0)</f>
        <v>0.5</v>
      </c>
    </row>
    <row r="28" spans="1:7" x14ac:dyDescent="0.35">
      <c r="A28" t="s">
        <v>98</v>
      </c>
      <c r="B28">
        <f>COUNTIF(TBL_REGISTROS_ATIVIDADES[TIPO_ATIVIDADE],"Acompanhamento de projeto prioritário")</f>
        <v>1</v>
      </c>
      <c r="C28" s="18">
        <f>IF($E$4&gt;0,B28/$E$4,0)</f>
        <v>0.5</v>
      </c>
      <c r="E28" t="s">
        <v>111</v>
      </c>
      <c r="F28">
        <f>COUNTIF(TBL_ACOES_PENDENCIAS[STATUS_ACAO],"Em andamento")</f>
        <v>1</v>
      </c>
      <c r="G28" s="18">
        <f>IF(COUNTA(TBL_ACOES_PENDENCIAS[ID_ACAO])&gt;0,F28/COUNTA(TBL_ACOES_PENDENCIAS[ID_ACAO]),0)</f>
        <v>0.5</v>
      </c>
    </row>
    <row r="29" spans="1:7" x14ac:dyDescent="0.35">
      <c r="A29" t="s">
        <v>153</v>
      </c>
      <c r="B29">
        <f>COUNTIF(TBL_REGISTROS_ATIVIDADES[TIPO_ATIVIDADE],"Visita técnica")</f>
        <v>0</v>
      </c>
      <c r="C29" s="18">
        <f>IF($E$4&gt;0,B29/$E$4,0)</f>
        <v>0</v>
      </c>
      <c r="E29" t="s">
        <v>371</v>
      </c>
      <c r="F29">
        <f>COUNTIF(TBL_ACOES_PENDENCIAS[STATUS_ACAO],"Aguardando parceira")</f>
        <v>0</v>
      </c>
      <c r="G29" s="18">
        <f>IF(COUNTA(TBL_ACOES_PENDENCIAS[ID_ACAO])&gt;0,F29/COUNTA(TBL_ACOES_PENDENCIAS[ID_ACAO]),0)</f>
        <v>0</v>
      </c>
    </row>
    <row r="30" spans="1:7" x14ac:dyDescent="0.35">
      <c r="A30" t="s">
        <v>157</v>
      </c>
      <c r="B30">
        <f>COUNTIF(TBL_REGISTROS_ATIVIDADES[TIPO_ATIVIDADE],"Inspeção de campo")</f>
        <v>0</v>
      </c>
      <c r="C30" s="18">
        <f>IF($E$4&gt;0,B30/$E$4,0)</f>
        <v>0</v>
      </c>
      <c r="E30" t="s">
        <v>373</v>
      </c>
      <c r="F30">
        <f>COUNTIF(TBL_ACOES_PENDENCIAS[STATUS_ACAO],"Aguardando Enel")</f>
        <v>0</v>
      </c>
      <c r="G30" s="18">
        <f>IF(COUNTA(TBL_ACOES_PENDENCIAS[ID_ACAO])&gt;0,F30/COUNTA(TBL_ACOES_PENDENCIAS[ID_ACAO]),0)</f>
        <v>0</v>
      </c>
    </row>
    <row r="31" spans="1:7" x14ac:dyDescent="0.35">
      <c r="A31" t="s">
        <v>160</v>
      </c>
      <c r="B31">
        <f>COUNTIF(TBL_REGISTROS_ATIVIDADES[TIPO_ATIVIDADE],"Acompanhamento de execução de projeto")</f>
        <v>0</v>
      </c>
      <c r="C31" s="18">
        <f>IF($E$4&gt;0,B31/$E$4,0)</f>
        <v>0</v>
      </c>
      <c r="E31" t="s">
        <v>94</v>
      </c>
      <c r="F31">
        <f>COUNTIF(TBL_ACOES_PENDENCIAS[STATUS_ACAO],"Concluída")</f>
        <v>0</v>
      </c>
      <c r="G31" s="18">
        <f>IF(COUNTA(TBL_ACOES_PENDENCIAS[ID_ACAO])&gt;0,F31/COUNTA(TBL_ACOES_PENDENCIAS[ID_ACAO]),0)</f>
        <v>0</v>
      </c>
    </row>
    <row r="32" spans="1:7" x14ac:dyDescent="0.35">
      <c r="E32" t="s">
        <v>342</v>
      </c>
      <c r="F32">
        <f>COUNTIF(TBL_ACOES_PENDENCIAS[STATUS_ACAO],"Cancelada")</f>
        <v>0</v>
      </c>
      <c r="G32" s="18">
        <f>IF(COUNTA(TBL_ACOES_PENDENCIAS[ID_ACAO])&gt;0,F32/COUNTA(TBL_ACOES_PENDENCIAS[ID_ACAO]),0)</f>
        <v>0</v>
      </c>
    </row>
    <row r="35" spans="1:4" x14ac:dyDescent="0.35">
      <c r="A35" s="2" t="s">
        <v>434</v>
      </c>
    </row>
    <row r="36" spans="1:4" x14ac:dyDescent="0.35">
      <c r="A36" s="12" t="s">
        <v>435</v>
      </c>
      <c r="B36" s="12" t="s">
        <v>436</v>
      </c>
      <c r="C36" s="12" t="s">
        <v>437</v>
      </c>
      <c r="D36" s="12" t="s">
        <v>438</v>
      </c>
    </row>
    <row r="37" spans="1:4" x14ac:dyDescent="0.35">
      <c r="A37" t="s">
        <v>439</v>
      </c>
      <c r="B37">
        <f ca="1">COUNTIFS(TBL_REGISTROS_ATIVIDADES[DATA_ATIVIDADE],"&gt;="&amp;DATE(YEAR(TODAY()),MONTH(TODAY()),1),TBL_REGISTROS_ATIVIDADES[DATA_ATIVIDADE],"&lt;="&amp;DATE(YEAR(TODAY()),MONTH(TODAY()),15))</f>
        <v>0</v>
      </c>
      <c r="C37">
        <f ca="1">COUNTIFS(TBL_REGISTROS_ATIVIDADES[DATA_ATIVIDADE],"&gt;="&amp;DATE(YEAR(TODAY()),MONTH(TODAY()),1),TBL_REGISTROS_ATIVIDADES[DATA_ATIVIDADE],"&lt;="&amp;DATE(YEAR(TODAY()),MONTH(TODAY()),15),TBL_REGISTROS_ATIVIDADES[STATUS_ATIVIDADE],"Concluída")</f>
        <v>0</v>
      </c>
      <c r="D37">
        <f ca="1">COUNTIFS(TBL_REGISTROS_ATIVIDADES[DATA_ATIVIDADE],"&gt;="&amp;DATE(YEAR(TODAY()),MONTH(TODAY()),1),TBL_REGISTROS_ATIVIDADES[DATA_ATIVIDADE],"&lt;="&amp;DATE(YEAR(TODAY()),MONTH(TODAY()),15),TBL_REGISTROS_ATIVIDADES[EXISTE_PENDENCIA],"Sim")</f>
        <v>0</v>
      </c>
    </row>
    <row r="38" spans="1:4" x14ac:dyDescent="0.35">
      <c r="A38" t="s">
        <v>440</v>
      </c>
      <c r="B38">
        <f ca="1">COUNTIFS(TBL_REGISTROS_ATIVIDADES[DATA_ATIVIDADE],"&gt;="&amp;DATE(YEAR(TODAY()),MONTH(TODAY()),16),TBL_REGISTROS_ATIVIDADES[DATA_ATIVIDADE],"&lt;="&amp;EOMONTH(TODAY(),0))</f>
        <v>2</v>
      </c>
      <c r="C38">
        <f ca="1">COUNTIFS(TBL_REGISTROS_ATIVIDADES[DATA_ATIVIDADE],"&gt;="&amp;DATE(YEAR(TODAY()),MONTH(TODAY()),16),TBL_REGISTROS_ATIVIDADES[DATA_ATIVIDADE],"&lt;="&amp;EOMONTH(TODAY(),0),TBL_REGISTROS_ATIVIDADES[STATUS_ATIVIDADE],"Concluída")</f>
        <v>1</v>
      </c>
      <c r="D38">
        <f ca="1">COUNTIFS(TBL_REGISTROS_ATIVIDADES[DATA_ATIVIDADE],"&gt;="&amp;DATE(YEAR(TODAY()),MONTH(TODAY()),16),TBL_REGISTROS_ATIVIDADES[DATA_ATIVIDADE],"&lt;="&amp;EOMONTH(TODAY(),0),TBL_REGISTROS_ATIVIDADES[EXISTE_PENDENCIA],"Sim")</f>
        <v>1</v>
      </c>
    </row>
    <row r="39" spans="1:4" x14ac:dyDescent="0.35">
      <c r="A39" s="1" t="s">
        <v>441</v>
      </c>
      <c r="B39" s="1">
        <f ca="1">B37+B38</f>
        <v>2</v>
      </c>
      <c r="C39" s="1">
        <f ca="1">C37+C38</f>
        <v>1</v>
      </c>
      <c r="D39" s="1">
        <f ca="1">D37+D38</f>
        <v>1</v>
      </c>
    </row>
  </sheetData>
  <mergeCells count="3">
    <mergeCell ref="A1:H1"/>
    <mergeCell ref="D3:H3"/>
    <mergeCell ref="A15:C15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63D9-F438-48C5-B11F-82558F6D20E6}">
  <dimension ref="A1:G92"/>
  <sheetViews>
    <sheetView workbookViewId="0">
      <selection sqref="A1:G1"/>
    </sheetView>
  </sheetViews>
  <sheetFormatPr defaultRowHeight="14.5" x14ac:dyDescent="0.35"/>
  <cols>
    <col min="1" max="1" width="20.6328125" bestFit="1" customWidth="1"/>
    <col min="2" max="2" width="30.36328125" bestFit="1" customWidth="1"/>
    <col min="3" max="3" width="10.36328125" bestFit="1" customWidth="1"/>
    <col min="4" max="4" width="9.1796875" bestFit="1" customWidth="1"/>
    <col min="5" max="5" width="12.453125" bestFit="1" customWidth="1"/>
    <col min="6" max="6" width="6.54296875" bestFit="1" customWidth="1"/>
    <col min="7" max="7" width="47.453125" bestFit="1" customWidth="1"/>
  </cols>
  <sheetData>
    <row r="1" spans="1:7" ht="18.5" x14ac:dyDescent="0.45">
      <c r="A1" s="19" t="s">
        <v>442</v>
      </c>
      <c r="B1" s="10"/>
      <c r="C1" s="10"/>
      <c r="D1" s="10"/>
      <c r="E1" s="10"/>
      <c r="F1" s="10"/>
      <c r="G1" s="10"/>
    </row>
    <row r="3" spans="1:7" x14ac:dyDescent="0.35">
      <c r="A3" s="20" t="s">
        <v>443</v>
      </c>
      <c r="B3" s="20" t="s">
        <v>444</v>
      </c>
      <c r="C3" s="20" t="s">
        <v>445</v>
      </c>
      <c r="D3" s="20" t="s">
        <v>446</v>
      </c>
      <c r="E3" s="20" t="s">
        <v>447</v>
      </c>
      <c r="F3" s="20" t="s">
        <v>448</v>
      </c>
      <c r="G3" s="20" t="s">
        <v>121</v>
      </c>
    </row>
    <row r="4" spans="1:7" x14ac:dyDescent="0.35">
      <c r="A4" s="21" t="s">
        <v>449</v>
      </c>
      <c r="B4" s="21" t="s">
        <v>0</v>
      </c>
      <c r="C4" s="21" t="s">
        <v>450</v>
      </c>
      <c r="D4" s="21">
        <v>10</v>
      </c>
      <c r="E4" s="21" t="s">
        <v>112</v>
      </c>
      <c r="F4" s="21" t="s">
        <v>451</v>
      </c>
      <c r="G4" s="21" t="s">
        <v>452</v>
      </c>
    </row>
    <row r="5" spans="1:7" x14ac:dyDescent="0.35">
      <c r="A5" s="21" t="s">
        <v>449</v>
      </c>
      <c r="B5" s="21" t="s">
        <v>1</v>
      </c>
      <c r="C5" s="21" t="s">
        <v>450</v>
      </c>
      <c r="D5" s="21">
        <v>100</v>
      </c>
      <c r="E5" s="21" t="s">
        <v>112</v>
      </c>
      <c r="F5" s="21"/>
      <c r="G5" s="21" t="s">
        <v>453</v>
      </c>
    </row>
    <row r="6" spans="1:7" x14ac:dyDescent="0.35">
      <c r="A6" s="21" t="s">
        <v>449</v>
      </c>
      <c r="B6" s="21" t="s">
        <v>2</v>
      </c>
      <c r="C6" s="21" t="s">
        <v>454</v>
      </c>
      <c r="D6" s="21">
        <v>100</v>
      </c>
      <c r="E6" s="21" t="s">
        <v>112</v>
      </c>
      <c r="F6" s="21" t="s">
        <v>455</v>
      </c>
      <c r="G6" s="21" t="s">
        <v>456</v>
      </c>
    </row>
    <row r="7" spans="1:7" x14ac:dyDescent="0.35">
      <c r="A7" s="21" t="s">
        <v>449</v>
      </c>
      <c r="B7" s="21" t="s">
        <v>3</v>
      </c>
      <c r="C7" s="21" t="s">
        <v>450</v>
      </c>
      <c r="D7" s="21">
        <v>20</v>
      </c>
      <c r="E7" s="21" t="s">
        <v>112</v>
      </c>
      <c r="F7" s="21" t="s">
        <v>455</v>
      </c>
      <c r="G7" s="21" t="s">
        <v>457</v>
      </c>
    </row>
    <row r="8" spans="1:7" x14ac:dyDescent="0.35">
      <c r="A8" s="21" t="s">
        <v>449</v>
      </c>
      <c r="B8" s="21" t="s">
        <v>4</v>
      </c>
      <c r="C8" s="21" t="s">
        <v>450</v>
      </c>
      <c r="D8" s="21">
        <v>50</v>
      </c>
      <c r="E8" s="21" t="s">
        <v>112</v>
      </c>
      <c r="F8" s="21"/>
      <c r="G8" s="21" t="s">
        <v>458</v>
      </c>
    </row>
    <row r="9" spans="1:7" x14ac:dyDescent="0.35">
      <c r="A9" s="21" t="s">
        <v>449</v>
      </c>
      <c r="B9" s="21" t="s">
        <v>5</v>
      </c>
      <c r="C9" s="21" t="s">
        <v>459</v>
      </c>
      <c r="D9" s="21" t="s">
        <v>399</v>
      </c>
      <c r="E9" s="21" t="s">
        <v>112</v>
      </c>
      <c r="F9" s="21"/>
      <c r="G9" s="21" t="s">
        <v>460</v>
      </c>
    </row>
    <row r="10" spans="1:7" x14ac:dyDescent="0.35">
      <c r="A10" s="21" t="s">
        <v>449</v>
      </c>
      <c r="B10" s="21" t="s">
        <v>6</v>
      </c>
      <c r="C10" s="21" t="s">
        <v>450</v>
      </c>
      <c r="D10" s="21">
        <v>50</v>
      </c>
      <c r="E10" s="21" t="s">
        <v>112</v>
      </c>
      <c r="F10" s="21" t="s">
        <v>461</v>
      </c>
      <c r="G10" s="21" t="s">
        <v>462</v>
      </c>
    </row>
    <row r="11" spans="1:7" x14ac:dyDescent="0.35">
      <c r="A11" s="21" t="s">
        <v>449</v>
      </c>
      <c r="B11" s="21" t="s">
        <v>7</v>
      </c>
      <c r="C11" s="21" t="s">
        <v>450</v>
      </c>
      <c r="D11" s="21">
        <v>50</v>
      </c>
      <c r="E11" s="21" t="s">
        <v>112</v>
      </c>
      <c r="F11" s="21" t="s">
        <v>461</v>
      </c>
      <c r="G11" s="21" t="s">
        <v>463</v>
      </c>
    </row>
    <row r="12" spans="1:7" x14ac:dyDescent="0.35">
      <c r="A12" s="21" t="s">
        <v>449</v>
      </c>
      <c r="B12" s="21" t="s">
        <v>8</v>
      </c>
      <c r="C12" s="21" t="s">
        <v>459</v>
      </c>
      <c r="D12" s="21" t="s">
        <v>399</v>
      </c>
      <c r="E12" s="21" t="s">
        <v>112</v>
      </c>
      <c r="F12" s="21"/>
      <c r="G12" s="21" t="s">
        <v>464</v>
      </c>
    </row>
    <row r="13" spans="1:7" x14ac:dyDescent="0.35">
      <c r="A13" s="21" t="s">
        <v>449</v>
      </c>
      <c r="B13" s="21" t="s">
        <v>9</v>
      </c>
      <c r="C13" s="21" t="s">
        <v>465</v>
      </c>
      <c r="D13" s="21" t="s">
        <v>399</v>
      </c>
      <c r="E13" s="21" t="s">
        <v>112</v>
      </c>
      <c r="F13" s="21"/>
      <c r="G13" s="21" t="s">
        <v>466</v>
      </c>
    </row>
    <row r="14" spans="1:7" x14ac:dyDescent="0.35">
      <c r="A14" s="21" t="s">
        <v>467</v>
      </c>
      <c r="B14" s="21" t="s">
        <v>33</v>
      </c>
      <c r="C14" s="21" t="s">
        <v>450</v>
      </c>
      <c r="D14" s="21">
        <v>20</v>
      </c>
      <c r="E14" s="21" t="s">
        <v>112</v>
      </c>
      <c r="F14" s="21" t="s">
        <v>451</v>
      </c>
      <c r="G14" s="21" t="s">
        <v>468</v>
      </c>
    </row>
    <row r="15" spans="1:7" x14ac:dyDescent="0.35">
      <c r="A15" s="21" t="s">
        <v>467</v>
      </c>
      <c r="B15" s="21" t="s">
        <v>34</v>
      </c>
      <c r="C15" s="21" t="s">
        <v>465</v>
      </c>
      <c r="D15" s="21" t="s">
        <v>399</v>
      </c>
      <c r="E15" s="21" t="s">
        <v>112</v>
      </c>
      <c r="F15" s="21"/>
      <c r="G15" s="21" t="s">
        <v>469</v>
      </c>
    </row>
    <row r="16" spans="1:7" x14ac:dyDescent="0.35">
      <c r="A16" s="21" t="s">
        <v>467</v>
      </c>
      <c r="B16" s="21" t="s">
        <v>35</v>
      </c>
      <c r="C16" s="21" t="s">
        <v>470</v>
      </c>
      <c r="D16" s="21" t="s">
        <v>399</v>
      </c>
      <c r="E16" s="21" t="s">
        <v>112</v>
      </c>
      <c r="F16" s="21"/>
      <c r="G16" s="21" t="s">
        <v>471</v>
      </c>
    </row>
    <row r="17" spans="1:7" x14ac:dyDescent="0.35">
      <c r="A17" s="21" t="s">
        <v>467</v>
      </c>
      <c r="B17" s="21" t="s">
        <v>36</v>
      </c>
      <c r="C17" s="21" t="s">
        <v>465</v>
      </c>
      <c r="D17" s="21" t="s">
        <v>399</v>
      </c>
      <c r="E17" s="21" t="s">
        <v>112</v>
      </c>
      <c r="F17" s="21"/>
      <c r="G17" s="21" t="s">
        <v>472</v>
      </c>
    </row>
    <row r="18" spans="1:7" x14ac:dyDescent="0.35">
      <c r="A18" s="21" t="s">
        <v>467</v>
      </c>
      <c r="B18" s="21" t="s">
        <v>37</v>
      </c>
      <c r="C18" s="21" t="s">
        <v>470</v>
      </c>
      <c r="D18" s="21" t="s">
        <v>399</v>
      </c>
      <c r="E18" s="21" t="s">
        <v>112</v>
      </c>
      <c r="F18" s="21"/>
      <c r="G18" s="21" t="s">
        <v>473</v>
      </c>
    </row>
    <row r="19" spans="1:7" x14ac:dyDescent="0.35">
      <c r="A19" s="21" t="s">
        <v>467</v>
      </c>
      <c r="B19" s="21" t="s">
        <v>38</v>
      </c>
      <c r="C19" s="21" t="s">
        <v>470</v>
      </c>
      <c r="D19" s="21" t="s">
        <v>399</v>
      </c>
      <c r="E19" s="21" t="s">
        <v>92</v>
      </c>
      <c r="F19" s="21"/>
      <c r="G19" s="21" t="s">
        <v>474</v>
      </c>
    </row>
    <row r="20" spans="1:7" x14ac:dyDescent="0.35">
      <c r="A20" s="21" t="s">
        <v>467</v>
      </c>
      <c r="B20" s="21" t="s">
        <v>39</v>
      </c>
      <c r="C20" s="21" t="s">
        <v>470</v>
      </c>
      <c r="D20" s="21" t="s">
        <v>399</v>
      </c>
      <c r="E20" s="21" t="s">
        <v>475</v>
      </c>
      <c r="F20" s="21"/>
      <c r="G20" s="21" t="s">
        <v>476</v>
      </c>
    </row>
    <row r="21" spans="1:7" x14ac:dyDescent="0.35">
      <c r="A21" s="21" t="s">
        <v>467</v>
      </c>
      <c r="B21" s="21" t="s">
        <v>40</v>
      </c>
      <c r="C21" s="21" t="s">
        <v>454</v>
      </c>
      <c r="D21" s="21">
        <v>100</v>
      </c>
      <c r="E21" s="21" t="s">
        <v>112</v>
      </c>
      <c r="F21" s="21" t="s">
        <v>461</v>
      </c>
      <c r="G21" s="21" t="s">
        <v>477</v>
      </c>
    </row>
    <row r="22" spans="1:7" x14ac:dyDescent="0.35">
      <c r="A22" s="21" t="s">
        <v>467</v>
      </c>
      <c r="B22" s="21" t="s">
        <v>41</v>
      </c>
      <c r="C22" s="21" t="s">
        <v>450</v>
      </c>
      <c r="D22" s="21">
        <v>10</v>
      </c>
      <c r="E22" s="21" t="s">
        <v>112</v>
      </c>
      <c r="F22" s="21" t="s">
        <v>461</v>
      </c>
      <c r="G22" s="21" t="s">
        <v>478</v>
      </c>
    </row>
    <row r="23" spans="1:7" x14ac:dyDescent="0.35">
      <c r="A23" s="21" t="s">
        <v>467</v>
      </c>
      <c r="B23" s="21" t="s">
        <v>42</v>
      </c>
      <c r="C23" s="21" t="s">
        <v>450</v>
      </c>
      <c r="D23" s="21">
        <v>100</v>
      </c>
      <c r="E23" s="21" t="s">
        <v>475</v>
      </c>
      <c r="F23" s="21"/>
      <c r="G23" s="21" t="s">
        <v>479</v>
      </c>
    </row>
    <row r="24" spans="1:7" x14ac:dyDescent="0.35">
      <c r="A24" s="21" t="s">
        <v>467</v>
      </c>
      <c r="B24" s="21" t="s">
        <v>43</v>
      </c>
      <c r="C24" s="21" t="s">
        <v>450</v>
      </c>
      <c r="D24" s="21">
        <v>20</v>
      </c>
      <c r="E24" s="21" t="s">
        <v>475</v>
      </c>
      <c r="F24" s="21"/>
      <c r="G24" s="21" t="s">
        <v>479</v>
      </c>
    </row>
    <row r="25" spans="1:7" x14ac:dyDescent="0.35">
      <c r="A25" s="21" t="s">
        <v>467</v>
      </c>
      <c r="B25" s="21" t="s">
        <v>6</v>
      </c>
      <c r="C25" s="21" t="s">
        <v>450</v>
      </c>
      <c r="D25" s="21">
        <v>50</v>
      </c>
      <c r="E25" s="21" t="s">
        <v>112</v>
      </c>
      <c r="F25" s="21" t="s">
        <v>461</v>
      </c>
      <c r="G25" s="21" t="s">
        <v>480</v>
      </c>
    </row>
    <row r="26" spans="1:7" x14ac:dyDescent="0.35">
      <c r="A26" s="21" t="s">
        <v>467</v>
      </c>
      <c r="B26" s="21" t="s">
        <v>7</v>
      </c>
      <c r="C26" s="21" t="s">
        <v>450</v>
      </c>
      <c r="D26" s="21">
        <v>50</v>
      </c>
      <c r="E26" s="21" t="s">
        <v>112</v>
      </c>
      <c r="F26" s="21" t="s">
        <v>461</v>
      </c>
      <c r="G26" s="21" t="s">
        <v>481</v>
      </c>
    </row>
    <row r="27" spans="1:7" x14ac:dyDescent="0.35">
      <c r="A27" s="21" t="s">
        <v>467</v>
      </c>
      <c r="B27" s="21" t="s">
        <v>44</v>
      </c>
      <c r="C27" s="21" t="s">
        <v>450</v>
      </c>
      <c r="D27" s="21">
        <v>100</v>
      </c>
      <c r="E27" s="21" t="s">
        <v>112</v>
      </c>
      <c r="F27" s="21" t="s">
        <v>461</v>
      </c>
      <c r="G27" s="21" t="s">
        <v>482</v>
      </c>
    </row>
    <row r="28" spans="1:7" x14ac:dyDescent="0.35">
      <c r="A28" s="21" t="s">
        <v>467</v>
      </c>
      <c r="B28" s="21" t="s">
        <v>45</v>
      </c>
      <c r="C28" s="21" t="s">
        <v>450</v>
      </c>
      <c r="D28" s="21">
        <v>100</v>
      </c>
      <c r="E28" s="21" t="s">
        <v>483</v>
      </c>
      <c r="F28" s="21"/>
      <c r="G28" s="21" t="s">
        <v>484</v>
      </c>
    </row>
    <row r="29" spans="1:7" x14ac:dyDescent="0.35">
      <c r="A29" s="21" t="s">
        <v>467</v>
      </c>
      <c r="B29" s="21" t="s">
        <v>46</v>
      </c>
      <c r="C29" s="21" t="s">
        <v>450</v>
      </c>
      <c r="D29" s="21">
        <v>10</v>
      </c>
      <c r="E29" s="21" t="s">
        <v>112</v>
      </c>
      <c r="F29" s="21" t="s">
        <v>461</v>
      </c>
      <c r="G29" s="21" t="s">
        <v>485</v>
      </c>
    </row>
    <row r="30" spans="1:7" x14ac:dyDescent="0.35">
      <c r="A30" s="21" t="s">
        <v>467</v>
      </c>
      <c r="B30" s="21" t="s">
        <v>47</v>
      </c>
      <c r="C30" s="21" t="s">
        <v>450</v>
      </c>
      <c r="D30" s="21">
        <v>100</v>
      </c>
      <c r="E30" s="21" t="s">
        <v>475</v>
      </c>
      <c r="F30" s="21"/>
      <c r="G30" s="21" t="s">
        <v>486</v>
      </c>
    </row>
    <row r="31" spans="1:7" x14ac:dyDescent="0.35">
      <c r="A31" s="21" t="s">
        <v>467</v>
      </c>
      <c r="B31" s="21" t="s">
        <v>48</v>
      </c>
      <c r="C31" s="21" t="s">
        <v>450</v>
      </c>
      <c r="D31" s="21">
        <v>20</v>
      </c>
      <c r="E31" s="21" t="s">
        <v>92</v>
      </c>
      <c r="F31" s="21"/>
      <c r="G31" s="21" t="s">
        <v>487</v>
      </c>
    </row>
    <row r="32" spans="1:7" x14ac:dyDescent="0.35">
      <c r="A32" s="21" t="s">
        <v>467</v>
      </c>
      <c r="B32" s="21" t="s">
        <v>49</v>
      </c>
      <c r="C32" s="21" t="s">
        <v>450</v>
      </c>
      <c r="D32" s="21">
        <v>20</v>
      </c>
      <c r="E32" s="21" t="s">
        <v>92</v>
      </c>
      <c r="F32" s="21"/>
      <c r="G32" s="21" t="s">
        <v>488</v>
      </c>
    </row>
    <row r="33" spans="1:7" x14ac:dyDescent="0.35">
      <c r="A33" s="21" t="s">
        <v>467</v>
      </c>
      <c r="B33" s="21" t="s">
        <v>50</v>
      </c>
      <c r="C33" s="21" t="s">
        <v>450</v>
      </c>
      <c r="D33" s="21">
        <v>20</v>
      </c>
      <c r="E33" s="21" t="s">
        <v>92</v>
      </c>
      <c r="F33" s="21"/>
      <c r="G33" s="21" t="s">
        <v>489</v>
      </c>
    </row>
    <row r="34" spans="1:7" x14ac:dyDescent="0.35">
      <c r="A34" s="21" t="s">
        <v>467</v>
      </c>
      <c r="B34" s="21" t="s">
        <v>51</v>
      </c>
      <c r="C34" s="21" t="s">
        <v>450</v>
      </c>
      <c r="D34" s="21">
        <v>30</v>
      </c>
      <c r="E34" s="21" t="s">
        <v>92</v>
      </c>
      <c r="F34" s="21"/>
      <c r="G34" s="21" t="s">
        <v>490</v>
      </c>
    </row>
    <row r="35" spans="1:7" x14ac:dyDescent="0.35">
      <c r="A35" s="21" t="s">
        <v>467</v>
      </c>
      <c r="B35" s="21" t="s">
        <v>52</v>
      </c>
      <c r="C35" s="21" t="s">
        <v>450</v>
      </c>
      <c r="D35" s="21">
        <v>50</v>
      </c>
      <c r="E35" s="21" t="s">
        <v>92</v>
      </c>
      <c r="F35" s="21" t="s">
        <v>461</v>
      </c>
      <c r="G35" s="21" t="s">
        <v>491</v>
      </c>
    </row>
    <row r="36" spans="1:7" x14ac:dyDescent="0.35">
      <c r="A36" s="21" t="s">
        <v>467</v>
      </c>
      <c r="B36" s="21" t="s">
        <v>53</v>
      </c>
      <c r="C36" s="21" t="s">
        <v>492</v>
      </c>
      <c r="D36" s="21" t="s">
        <v>399</v>
      </c>
      <c r="E36" s="21" t="s">
        <v>112</v>
      </c>
      <c r="F36" s="21"/>
      <c r="G36" s="21" t="s">
        <v>493</v>
      </c>
    </row>
    <row r="37" spans="1:7" x14ac:dyDescent="0.35">
      <c r="A37" s="21" t="s">
        <v>467</v>
      </c>
      <c r="B37" s="21" t="s">
        <v>54</v>
      </c>
      <c r="C37" s="21" t="s">
        <v>494</v>
      </c>
      <c r="D37" s="21" t="s">
        <v>495</v>
      </c>
      <c r="E37" s="21" t="s">
        <v>475</v>
      </c>
      <c r="F37" s="21"/>
      <c r="G37" s="21" t="s">
        <v>496</v>
      </c>
    </row>
    <row r="38" spans="1:7" x14ac:dyDescent="0.35">
      <c r="A38" s="21" t="s">
        <v>467</v>
      </c>
      <c r="B38" s="21" t="s">
        <v>55</v>
      </c>
      <c r="C38" s="21" t="s">
        <v>494</v>
      </c>
      <c r="D38" s="21" t="s">
        <v>495</v>
      </c>
      <c r="E38" s="21" t="s">
        <v>475</v>
      </c>
      <c r="F38" s="21"/>
      <c r="G38" s="21" t="s">
        <v>496</v>
      </c>
    </row>
    <row r="39" spans="1:7" x14ac:dyDescent="0.35">
      <c r="A39" s="21" t="s">
        <v>467</v>
      </c>
      <c r="B39" s="21" t="s">
        <v>56</v>
      </c>
      <c r="C39" s="21" t="s">
        <v>450</v>
      </c>
      <c r="D39" s="21">
        <v>200</v>
      </c>
      <c r="E39" s="21" t="s">
        <v>92</v>
      </c>
      <c r="F39" s="21"/>
      <c r="G39" s="21" t="s">
        <v>497</v>
      </c>
    </row>
    <row r="40" spans="1:7" x14ac:dyDescent="0.35">
      <c r="A40" s="21" t="s">
        <v>467</v>
      </c>
      <c r="B40" s="21" t="s">
        <v>57</v>
      </c>
      <c r="C40" s="21" t="s">
        <v>450</v>
      </c>
      <c r="D40" s="21">
        <v>100</v>
      </c>
      <c r="E40" s="21" t="s">
        <v>112</v>
      </c>
      <c r="F40" s="21"/>
      <c r="G40" s="21" t="s">
        <v>498</v>
      </c>
    </row>
    <row r="41" spans="1:7" x14ac:dyDescent="0.35">
      <c r="A41" s="21" t="s">
        <v>467</v>
      </c>
      <c r="B41" s="21" t="s">
        <v>58</v>
      </c>
      <c r="C41" s="21" t="s">
        <v>499</v>
      </c>
      <c r="D41" s="21">
        <v>2000</v>
      </c>
      <c r="E41" s="21" t="s">
        <v>112</v>
      </c>
      <c r="F41" s="21"/>
      <c r="G41" s="21" t="s">
        <v>500</v>
      </c>
    </row>
    <row r="42" spans="1:7" x14ac:dyDescent="0.35">
      <c r="A42" s="21" t="s">
        <v>467</v>
      </c>
      <c r="B42" s="21" t="s">
        <v>59</v>
      </c>
      <c r="C42" s="21" t="s">
        <v>499</v>
      </c>
      <c r="D42" s="21">
        <v>1000</v>
      </c>
      <c r="E42" s="21" t="s">
        <v>112</v>
      </c>
      <c r="F42" s="21"/>
      <c r="G42" s="21" t="s">
        <v>501</v>
      </c>
    </row>
    <row r="43" spans="1:7" x14ac:dyDescent="0.35">
      <c r="A43" s="21" t="s">
        <v>467</v>
      </c>
      <c r="B43" s="21" t="s">
        <v>60</v>
      </c>
      <c r="C43" s="21" t="s">
        <v>499</v>
      </c>
      <c r="D43" s="21">
        <v>1000</v>
      </c>
      <c r="E43" s="21" t="s">
        <v>112</v>
      </c>
      <c r="F43" s="21"/>
      <c r="G43" s="21" t="s">
        <v>502</v>
      </c>
    </row>
    <row r="44" spans="1:7" x14ac:dyDescent="0.35">
      <c r="A44" s="21" t="s">
        <v>467</v>
      </c>
      <c r="B44" s="21" t="s">
        <v>61</v>
      </c>
      <c r="C44" s="21" t="s">
        <v>459</v>
      </c>
      <c r="D44" s="21" t="s">
        <v>399</v>
      </c>
      <c r="E44" s="21" t="s">
        <v>112</v>
      </c>
      <c r="F44" s="21"/>
      <c r="G44" s="21" t="s">
        <v>503</v>
      </c>
    </row>
    <row r="45" spans="1:7" x14ac:dyDescent="0.35">
      <c r="A45" s="21" t="s">
        <v>467</v>
      </c>
      <c r="B45" s="21" t="s">
        <v>62</v>
      </c>
      <c r="C45" s="21" t="s">
        <v>459</v>
      </c>
      <c r="D45" s="21" t="s">
        <v>399</v>
      </c>
      <c r="E45" s="21" t="s">
        <v>112</v>
      </c>
      <c r="F45" s="21"/>
      <c r="G45" s="21" t="s">
        <v>504</v>
      </c>
    </row>
    <row r="46" spans="1:7" x14ac:dyDescent="0.35">
      <c r="A46" s="21" t="s">
        <v>467</v>
      </c>
      <c r="B46" s="21" t="s">
        <v>63</v>
      </c>
      <c r="C46" s="21" t="s">
        <v>499</v>
      </c>
      <c r="D46" s="21">
        <v>1000</v>
      </c>
      <c r="E46" s="21" t="s">
        <v>483</v>
      </c>
      <c r="F46" s="21"/>
      <c r="G46" s="21" t="s">
        <v>505</v>
      </c>
    </row>
    <row r="47" spans="1:7" x14ac:dyDescent="0.35">
      <c r="A47" s="21" t="s">
        <v>467</v>
      </c>
      <c r="B47" s="21" t="s">
        <v>64</v>
      </c>
      <c r="C47" s="21" t="s">
        <v>459</v>
      </c>
      <c r="D47" s="21" t="s">
        <v>399</v>
      </c>
      <c r="E47" s="21" t="s">
        <v>112</v>
      </c>
      <c r="F47" s="21"/>
      <c r="G47" s="21" t="s">
        <v>504</v>
      </c>
    </row>
    <row r="48" spans="1:7" x14ac:dyDescent="0.35">
      <c r="A48" s="21" t="s">
        <v>467</v>
      </c>
      <c r="B48" s="21" t="s">
        <v>65</v>
      </c>
      <c r="C48" s="21" t="s">
        <v>499</v>
      </c>
      <c r="D48" s="21">
        <v>500</v>
      </c>
      <c r="E48" s="21" t="s">
        <v>483</v>
      </c>
      <c r="F48" s="21"/>
      <c r="G48" s="21" t="s">
        <v>506</v>
      </c>
    </row>
    <row r="49" spans="1:7" x14ac:dyDescent="0.35">
      <c r="A49" s="21" t="s">
        <v>467</v>
      </c>
      <c r="B49" s="21" t="s">
        <v>66</v>
      </c>
      <c r="C49" s="21" t="s">
        <v>450</v>
      </c>
      <c r="D49" s="21">
        <v>100</v>
      </c>
      <c r="E49" s="21" t="s">
        <v>483</v>
      </c>
      <c r="F49" s="21"/>
      <c r="G49" s="21" t="s">
        <v>506</v>
      </c>
    </row>
    <row r="50" spans="1:7" x14ac:dyDescent="0.35">
      <c r="A50" s="21" t="s">
        <v>467</v>
      </c>
      <c r="B50" s="21" t="s">
        <v>67</v>
      </c>
      <c r="C50" s="21" t="s">
        <v>465</v>
      </c>
      <c r="D50" s="21" t="s">
        <v>399</v>
      </c>
      <c r="E50" s="21" t="s">
        <v>483</v>
      </c>
      <c r="F50" s="21"/>
      <c r="G50" s="21" t="s">
        <v>506</v>
      </c>
    </row>
    <row r="51" spans="1:7" x14ac:dyDescent="0.35">
      <c r="A51" s="21" t="s">
        <v>467</v>
      </c>
      <c r="B51" s="21" t="s">
        <v>68</v>
      </c>
      <c r="C51" s="21" t="s">
        <v>459</v>
      </c>
      <c r="D51" s="21" t="s">
        <v>399</v>
      </c>
      <c r="E51" s="21" t="s">
        <v>112</v>
      </c>
      <c r="F51" s="21" t="s">
        <v>461</v>
      </c>
      <c r="G51" s="21" t="s">
        <v>507</v>
      </c>
    </row>
    <row r="52" spans="1:7" x14ac:dyDescent="0.35">
      <c r="A52" s="21" t="s">
        <v>467</v>
      </c>
      <c r="B52" s="21" t="s">
        <v>69</v>
      </c>
      <c r="C52" s="21" t="s">
        <v>459</v>
      </c>
      <c r="D52" s="21" t="s">
        <v>399</v>
      </c>
      <c r="E52" s="21" t="s">
        <v>112</v>
      </c>
      <c r="F52" s="21" t="s">
        <v>461</v>
      </c>
      <c r="G52" s="21" t="s">
        <v>508</v>
      </c>
    </row>
    <row r="53" spans="1:7" x14ac:dyDescent="0.35">
      <c r="A53" s="21" t="s">
        <v>467</v>
      </c>
      <c r="B53" s="21" t="s">
        <v>70</v>
      </c>
      <c r="C53" s="21" t="s">
        <v>509</v>
      </c>
      <c r="D53" s="21" t="s">
        <v>399</v>
      </c>
      <c r="E53" s="21" t="s">
        <v>475</v>
      </c>
      <c r="F53" s="21"/>
      <c r="G53" s="21" t="s">
        <v>510</v>
      </c>
    </row>
    <row r="54" spans="1:7" x14ac:dyDescent="0.35">
      <c r="A54" s="21" t="s">
        <v>467</v>
      </c>
      <c r="B54" s="21" t="s">
        <v>71</v>
      </c>
      <c r="C54" s="21" t="s">
        <v>511</v>
      </c>
      <c r="D54" s="21" t="s">
        <v>399</v>
      </c>
      <c r="E54" s="21" t="s">
        <v>475</v>
      </c>
      <c r="F54" s="21"/>
      <c r="G54" s="21" t="s">
        <v>512</v>
      </c>
    </row>
    <row r="55" spans="1:7" x14ac:dyDescent="0.35">
      <c r="A55" s="21" t="s">
        <v>467</v>
      </c>
      <c r="B55" s="21" t="s">
        <v>72</v>
      </c>
      <c r="C55" s="21" t="s">
        <v>513</v>
      </c>
      <c r="D55" s="21" t="s">
        <v>399</v>
      </c>
      <c r="E55" s="21" t="s">
        <v>475</v>
      </c>
      <c r="F55" s="21"/>
      <c r="G55" s="21" t="s">
        <v>514</v>
      </c>
    </row>
    <row r="56" spans="1:7" x14ac:dyDescent="0.35">
      <c r="A56" s="21" t="s">
        <v>467</v>
      </c>
      <c r="B56" s="21" t="s">
        <v>73</v>
      </c>
      <c r="C56" s="21" t="s">
        <v>454</v>
      </c>
      <c r="D56" s="21">
        <v>100</v>
      </c>
      <c r="E56" s="21" t="s">
        <v>475</v>
      </c>
      <c r="F56" s="21"/>
      <c r="G56" s="21" t="s">
        <v>515</v>
      </c>
    </row>
    <row r="57" spans="1:7" x14ac:dyDescent="0.35">
      <c r="A57" s="21" t="s">
        <v>467</v>
      </c>
      <c r="B57" s="21" t="s">
        <v>74</v>
      </c>
      <c r="C57" s="21" t="s">
        <v>459</v>
      </c>
      <c r="D57" s="21" t="s">
        <v>399</v>
      </c>
      <c r="E57" s="21" t="s">
        <v>475</v>
      </c>
      <c r="F57" s="21"/>
      <c r="G57" s="21" t="s">
        <v>516</v>
      </c>
    </row>
    <row r="58" spans="1:7" x14ac:dyDescent="0.35">
      <c r="A58" s="21" t="s">
        <v>467</v>
      </c>
      <c r="B58" s="21" t="s">
        <v>75</v>
      </c>
      <c r="C58" s="21" t="s">
        <v>499</v>
      </c>
      <c r="D58" s="21">
        <v>1000</v>
      </c>
      <c r="E58" s="21" t="s">
        <v>92</v>
      </c>
      <c r="F58" s="21"/>
      <c r="G58" s="21" t="s">
        <v>517</v>
      </c>
    </row>
    <row r="59" spans="1:7" x14ac:dyDescent="0.35">
      <c r="A59" s="21"/>
      <c r="B59" s="21"/>
      <c r="C59" s="21"/>
      <c r="D59" s="21"/>
      <c r="E59" s="21"/>
      <c r="F59" s="21"/>
      <c r="G59" s="21"/>
    </row>
    <row r="60" spans="1:7" x14ac:dyDescent="0.35">
      <c r="A60" s="21" t="s">
        <v>518</v>
      </c>
      <c r="B60" s="21" t="s">
        <v>216</v>
      </c>
      <c r="C60" s="21" t="s">
        <v>450</v>
      </c>
      <c r="D60" s="21">
        <v>15</v>
      </c>
      <c r="E60" s="21" t="s">
        <v>112</v>
      </c>
      <c r="F60" s="21" t="s">
        <v>451</v>
      </c>
      <c r="G60" s="21" t="s">
        <v>519</v>
      </c>
    </row>
    <row r="61" spans="1:7" x14ac:dyDescent="0.35">
      <c r="A61" s="21" t="s">
        <v>518</v>
      </c>
      <c r="B61" s="21" t="s">
        <v>33</v>
      </c>
      <c r="C61" s="21" t="s">
        <v>450</v>
      </c>
      <c r="D61" s="21">
        <v>20</v>
      </c>
      <c r="E61" s="21" t="s">
        <v>112</v>
      </c>
      <c r="F61" s="21" t="s">
        <v>461</v>
      </c>
      <c r="G61" s="21" t="s">
        <v>520</v>
      </c>
    </row>
    <row r="62" spans="1:7" x14ac:dyDescent="0.35">
      <c r="A62" s="21" t="s">
        <v>518</v>
      </c>
      <c r="B62" s="21" t="s">
        <v>217</v>
      </c>
      <c r="C62" s="21" t="s">
        <v>521</v>
      </c>
      <c r="D62" s="21" t="s">
        <v>399</v>
      </c>
      <c r="E62" s="21" t="s">
        <v>112</v>
      </c>
      <c r="F62" s="21"/>
      <c r="G62" s="21" t="s">
        <v>522</v>
      </c>
    </row>
    <row r="63" spans="1:7" x14ac:dyDescent="0.35">
      <c r="A63" s="21" t="s">
        <v>518</v>
      </c>
      <c r="B63" s="21" t="s">
        <v>218</v>
      </c>
      <c r="C63" s="21" t="s">
        <v>450</v>
      </c>
      <c r="D63" s="21">
        <v>200</v>
      </c>
      <c r="E63" s="21" t="s">
        <v>483</v>
      </c>
      <c r="F63" s="21"/>
      <c r="G63" s="21" t="s">
        <v>523</v>
      </c>
    </row>
    <row r="64" spans="1:7" x14ac:dyDescent="0.35">
      <c r="A64" s="21" t="s">
        <v>518</v>
      </c>
      <c r="B64" s="21" t="s">
        <v>219</v>
      </c>
      <c r="C64" s="21" t="s">
        <v>459</v>
      </c>
      <c r="D64" s="21" t="s">
        <v>399</v>
      </c>
      <c r="E64" s="21" t="s">
        <v>112</v>
      </c>
      <c r="F64" s="21" t="s">
        <v>461</v>
      </c>
      <c r="G64" s="21" t="s">
        <v>508</v>
      </c>
    </row>
    <row r="65" spans="1:7" x14ac:dyDescent="0.35">
      <c r="A65" s="21" t="s">
        <v>518</v>
      </c>
      <c r="B65" s="21" t="s">
        <v>220</v>
      </c>
      <c r="C65" s="21" t="s">
        <v>465</v>
      </c>
      <c r="D65" s="21" t="s">
        <v>399</v>
      </c>
      <c r="E65" s="21" t="s">
        <v>475</v>
      </c>
      <c r="F65" s="21"/>
      <c r="G65" s="21" t="s">
        <v>524</v>
      </c>
    </row>
    <row r="66" spans="1:7" x14ac:dyDescent="0.35">
      <c r="A66" s="21" t="s">
        <v>518</v>
      </c>
      <c r="B66" s="21" t="s">
        <v>221</v>
      </c>
      <c r="C66" s="21" t="s">
        <v>470</v>
      </c>
      <c r="D66" s="21" t="s">
        <v>399</v>
      </c>
      <c r="E66" s="21" t="s">
        <v>475</v>
      </c>
      <c r="F66" s="21"/>
      <c r="G66" s="21" t="s">
        <v>525</v>
      </c>
    </row>
    <row r="67" spans="1:7" x14ac:dyDescent="0.35">
      <c r="A67" s="21" t="s">
        <v>518</v>
      </c>
      <c r="B67" s="21" t="s">
        <v>222</v>
      </c>
      <c r="C67" s="21" t="s">
        <v>492</v>
      </c>
      <c r="D67" s="21" t="s">
        <v>399</v>
      </c>
      <c r="E67" s="21" t="s">
        <v>475</v>
      </c>
      <c r="F67" s="21"/>
      <c r="G67" s="21" t="s">
        <v>526</v>
      </c>
    </row>
    <row r="68" spans="1:7" x14ac:dyDescent="0.35">
      <c r="A68" s="21" t="s">
        <v>518</v>
      </c>
      <c r="B68" s="21" t="s">
        <v>223</v>
      </c>
      <c r="C68" s="21" t="s">
        <v>454</v>
      </c>
      <c r="D68" s="21">
        <v>100</v>
      </c>
      <c r="E68" s="21" t="s">
        <v>475</v>
      </c>
      <c r="F68" s="21"/>
      <c r="G68" s="21" t="s">
        <v>527</v>
      </c>
    </row>
    <row r="69" spans="1:7" x14ac:dyDescent="0.35">
      <c r="A69" s="21" t="s">
        <v>518</v>
      </c>
      <c r="B69" s="21" t="s">
        <v>224</v>
      </c>
      <c r="C69" s="21" t="s">
        <v>511</v>
      </c>
      <c r="D69" s="21" t="s">
        <v>399</v>
      </c>
      <c r="E69" s="21" t="s">
        <v>475</v>
      </c>
      <c r="F69" s="21"/>
      <c r="G69" s="21" t="s">
        <v>528</v>
      </c>
    </row>
    <row r="70" spans="1:7" x14ac:dyDescent="0.35">
      <c r="A70" s="21"/>
      <c r="B70" s="21"/>
      <c r="C70" s="21"/>
      <c r="D70" s="21"/>
      <c r="E70" s="21"/>
      <c r="F70" s="21"/>
      <c r="G70" s="21"/>
    </row>
    <row r="71" spans="1:7" x14ac:dyDescent="0.35">
      <c r="A71" s="21" t="s">
        <v>529</v>
      </c>
      <c r="B71" s="21" t="s">
        <v>255</v>
      </c>
      <c r="C71" s="21" t="s">
        <v>450</v>
      </c>
      <c r="D71" s="21">
        <v>15</v>
      </c>
      <c r="E71" s="21" t="s">
        <v>112</v>
      </c>
      <c r="F71" s="21" t="s">
        <v>451</v>
      </c>
      <c r="G71" s="21" t="s">
        <v>530</v>
      </c>
    </row>
    <row r="72" spans="1:7" x14ac:dyDescent="0.35">
      <c r="A72" s="21" t="s">
        <v>529</v>
      </c>
      <c r="B72" s="21" t="s">
        <v>33</v>
      </c>
      <c r="C72" s="21" t="s">
        <v>450</v>
      </c>
      <c r="D72" s="21">
        <v>20</v>
      </c>
      <c r="E72" s="21" t="s">
        <v>112</v>
      </c>
      <c r="F72" s="21" t="s">
        <v>461</v>
      </c>
      <c r="G72" s="21" t="s">
        <v>520</v>
      </c>
    </row>
    <row r="73" spans="1:7" x14ac:dyDescent="0.35">
      <c r="A73" s="21" t="s">
        <v>529</v>
      </c>
      <c r="B73" s="21" t="s">
        <v>256</v>
      </c>
      <c r="C73" s="21" t="s">
        <v>459</v>
      </c>
      <c r="D73" s="21" t="s">
        <v>399</v>
      </c>
      <c r="E73" s="21" t="s">
        <v>112</v>
      </c>
      <c r="F73" s="21"/>
      <c r="G73" s="21" t="s">
        <v>531</v>
      </c>
    </row>
    <row r="74" spans="1:7" x14ac:dyDescent="0.35">
      <c r="A74" s="21" t="s">
        <v>529</v>
      </c>
      <c r="B74" s="21" t="s">
        <v>257</v>
      </c>
      <c r="C74" s="21" t="s">
        <v>499</v>
      </c>
      <c r="D74" s="21">
        <v>500</v>
      </c>
      <c r="E74" s="21" t="s">
        <v>112</v>
      </c>
      <c r="F74" s="21"/>
      <c r="G74" s="21" t="s">
        <v>532</v>
      </c>
    </row>
    <row r="75" spans="1:7" x14ac:dyDescent="0.35">
      <c r="A75" s="21" t="s">
        <v>529</v>
      </c>
      <c r="B75" s="21" t="s">
        <v>183</v>
      </c>
      <c r="C75" s="21" t="s">
        <v>450</v>
      </c>
      <c r="D75" s="21">
        <v>100</v>
      </c>
      <c r="E75" s="21" t="s">
        <v>112</v>
      </c>
      <c r="F75" s="21"/>
      <c r="G75" s="21" t="s">
        <v>533</v>
      </c>
    </row>
    <row r="76" spans="1:7" x14ac:dyDescent="0.35">
      <c r="A76" s="21" t="s">
        <v>529</v>
      </c>
      <c r="B76" s="21" t="s">
        <v>258</v>
      </c>
      <c r="C76" s="21" t="s">
        <v>450</v>
      </c>
      <c r="D76" s="21">
        <v>100</v>
      </c>
      <c r="E76" s="21" t="s">
        <v>112</v>
      </c>
      <c r="F76" s="21"/>
      <c r="G76" s="21" t="s">
        <v>534</v>
      </c>
    </row>
    <row r="77" spans="1:7" x14ac:dyDescent="0.35">
      <c r="A77" s="21" t="s">
        <v>529</v>
      </c>
      <c r="B77" s="21" t="s">
        <v>259</v>
      </c>
      <c r="C77" s="21" t="s">
        <v>465</v>
      </c>
      <c r="D77" s="21" t="s">
        <v>399</v>
      </c>
      <c r="E77" s="21" t="s">
        <v>475</v>
      </c>
      <c r="F77" s="21"/>
      <c r="G77" s="21" t="s">
        <v>535</v>
      </c>
    </row>
    <row r="78" spans="1:7" x14ac:dyDescent="0.35">
      <c r="A78" s="21" t="s">
        <v>529</v>
      </c>
      <c r="B78" s="21" t="s">
        <v>260</v>
      </c>
      <c r="C78" s="21" t="s">
        <v>465</v>
      </c>
      <c r="D78" s="21" t="s">
        <v>399</v>
      </c>
      <c r="E78" s="21" t="s">
        <v>112</v>
      </c>
      <c r="F78" s="21"/>
      <c r="G78" s="21" t="s">
        <v>536</v>
      </c>
    </row>
    <row r="79" spans="1:7" x14ac:dyDescent="0.35">
      <c r="A79" s="21" t="s">
        <v>529</v>
      </c>
      <c r="B79" s="21" t="s">
        <v>68</v>
      </c>
      <c r="C79" s="21" t="s">
        <v>459</v>
      </c>
      <c r="D79" s="21" t="s">
        <v>399</v>
      </c>
      <c r="E79" s="21" t="s">
        <v>112</v>
      </c>
      <c r="F79" s="21" t="s">
        <v>461</v>
      </c>
      <c r="G79" s="21" t="s">
        <v>507</v>
      </c>
    </row>
    <row r="80" spans="1:7" x14ac:dyDescent="0.35">
      <c r="A80" s="21" t="s">
        <v>529</v>
      </c>
      <c r="B80" s="21" t="s">
        <v>261</v>
      </c>
      <c r="C80" s="21" t="s">
        <v>459</v>
      </c>
      <c r="D80" s="21" t="s">
        <v>399</v>
      </c>
      <c r="E80" s="21" t="s">
        <v>112</v>
      </c>
      <c r="F80" s="21" t="s">
        <v>461</v>
      </c>
      <c r="G80" s="21" t="s">
        <v>508</v>
      </c>
    </row>
    <row r="81" spans="1:7" x14ac:dyDescent="0.35">
      <c r="A81" s="21" t="s">
        <v>529</v>
      </c>
      <c r="B81" s="21" t="s">
        <v>262</v>
      </c>
      <c r="C81" s="21" t="s">
        <v>465</v>
      </c>
      <c r="D81" s="21" t="s">
        <v>399</v>
      </c>
      <c r="E81" s="21" t="s">
        <v>483</v>
      </c>
      <c r="F81" s="21"/>
      <c r="G81" s="21" t="s">
        <v>537</v>
      </c>
    </row>
    <row r="82" spans="1:7" x14ac:dyDescent="0.35">
      <c r="A82" s="21" t="s">
        <v>529</v>
      </c>
      <c r="B82" s="21" t="s">
        <v>263</v>
      </c>
      <c r="C82" s="21" t="s">
        <v>521</v>
      </c>
      <c r="D82" s="21" t="s">
        <v>399</v>
      </c>
      <c r="E82" s="21" t="s">
        <v>92</v>
      </c>
      <c r="F82" s="21"/>
      <c r="G82" s="21" t="s">
        <v>538</v>
      </c>
    </row>
    <row r="83" spans="1:7" x14ac:dyDescent="0.35">
      <c r="A83" s="21" t="s">
        <v>529</v>
      </c>
      <c r="B83" s="21" t="s">
        <v>75</v>
      </c>
      <c r="C83" s="21" t="s">
        <v>499</v>
      </c>
      <c r="D83" s="21">
        <v>500</v>
      </c>
      <c r="E83" s="21" t="s">
        <v>92</v>
      </c>
      <c r="F83" s="21"/>
      <c r="G83" s="21" t="s">
        <v>517</v>
      </c>
    </row>
    <row r="84" spans="1:7" x14ac:dyDescent="0.35">
      <c r="A84" s="21"/>
      <c r="B84" s="21"/>
      <c r="C84" s="21"/>
      <c r="D84" s="21"/>
      <c r="E84" s="21"/>
      <c r="F84" s="21"/>
      <c r="G84" s="21"/>
    </row>
    <row r="85" spans="1:7" x14ac:dyDescent="0.35">
      <c r="A85" s="21" t="s">
        <v>539</v>
      </c>
      <c r="B85" s="21" t="s">
        <v>391</v>
      </c>
      <c r="C85" s="21" t="s">
        <v>450</v>
      </c>
      <c r="D85" s="21">
        <v>15</v>
      </c>
      <c r="E85" s="21" t="s">
        <v>112</v>
      </c>
      <c r="F85" s="21" t="s">
        <v>451</v>
      </c>
      <c r="G85" s="21" t="s">
        <v>540</v>
      </c>
    </row>
    <row r="86" spans="1:7" x14ac:dyDescent="0.35">
      <c r="A86" s="21" t="s">
        <v>539</v>
      </c>
      <c r="B86" s="21" t="s">
        <v>33</v>
      </c>
      <c r="C86" s="21" t="s">
        <v>450</v>
      </c>
      <c r="D86" s="21">
        <v>20</v>
      </c>
      <c r="E86" s="21" t="s">
        <v>112</v>
      </c>
      <c r="F86" s="21" t="s">
        <v>461</v>
      </c>
      <c r="G86" s="21" t="s">
        <v>520</v>
      </c>
    </row>
    <row r="87" spans="1:7" x14ac:dyDescent="0.35">
      <c r="A87" s="21" t="s">
        <v>539</v>
      </c>
      <c r="B87" s="21" t="s">
        <v>392</v>
      </c>
      <c r="C87" s="21" t="s">
        <v>513</v>
      </c>
      <c r="D87" s="21" t="s">
        <v>399</v>
      </c>
      <c r="E87" s="21" t="s">
        <v>475</v>
      </c>
      <c r="F87" s="21"/>
      <c r="G87" s="21" t="s">
        <v>541</v>
      </c>
    </row>
    <row r="88" spans="1:7" x14ac:dyDescent="0.35">
      <c r="A88" s="21" t="s">
        <v>539</v>
      </c>
      <c r="B88" s="21" t="s">
        <v>40</v>
      </c>
      <c r="C88" s="21" t="s">
        <v>454</v>
      </c>
      <c r="D88" s="21">
        <v>100</v>
      </c>
      <c r="E88" s="21" t="s">
        <v>475</v>
      </c>
      <c r="F88" s="21"/>
      <c r="G88" s="21" t="s">
        <v>542</v>
      </c>
    </row>
    <row r="89" spans="1:7" x14ac:dyDescent="0.35">
      <c r="A89" s="21" t="s">
        <v>539</v>
      </c>
      <c r="B89" s="21" t="s">
        <v>393</v>
      </c>
      <c r="C89" s="21" t="s">
        <v>459</v>
      </c>
      <c r="D89" s="21" t="s">
        <v>399</v>
      </c>
      <c r="E89" s="21" t="s">
        <v>112</v>
      </c>
      <c r="F89" s="21"/>
      <c r="G89" s="21" t="s">
        <v>543</v>
      </c>
    </row>
    <row r="90" spans="1:7" x14ac:dyDescent="0.35">
      <c r="A90" s="21" t="s">
        <v>539</v>
      </c>
      <c r="B90" s="21" t="s">
        <v>394</v>
      </c>
      <c r="C90" s="21" t="s">
        <v>450</v>
      </c>
      <c r="D90" s="21">
        <v>50</v>
      </c>
      <c r="E90" s="21" t="s">
        <v>483</v>
      </c>
      <c r="F90" s="21"/>
      <c r="G90" s="21" t="s">
        <v>544</v>
      </c>
    </row>
    <row r="91" spans="1:7" x14ac:dyDescent="0.35">
      <c r="A91" s="21" t="s">
        <v>539</v>
      </c>
      <c r="B91" s="21" t="s">
        <v>395</v>
      </c>
      <c r="C91" s="21" t="s">
        <v>450</v>
      </c>
      <c r="D91" s="21">
        <v>500</v>
      </c>
      <c r="E91" s="21" t="s">
        <v>483</v>
      </c>
      <c r="F91" s="21"/>
      <c r="G91" s="21" t="s">
        <v>545</v>
      </c>
    </row>
    <row r="92" spans="1:7" x14ac:dyDescent="0.35">
      <c r="A92" s="22" t="s">
        <v>539</v>
      </c>
      <c r="B92" s="22" t="s">
        <v>396</v>
      </c>
      <c r="C92" s="22" t="s">
        <v>450</v>
      </c>
      <c r="D92" s="22">
        <v>500</v>
      </c>
      <c r="E92" s="22" t="s">
        <v>483</v>
      </c>
      <c r="F92" s="22"/>
      <c r="G92" s="22" t="s">
        <v>546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532B-9145-4CEF-9D0E-061E9CBEC0BE}">
  <dimension ref="A1:D69"/>
  <sheetViews>
    <sheetView workbookViewId="0">
      <selection sqref="A1:D1"/>
    </sheetView>
  </sheetViews>
  <sheetFormatPr defaultRowHeight="14.5" x14ac:dyDescent="0.35"/>
  <cols>
    <col min="1" max="1" width="21.26953125" bestFit="1" customWidth="1"/>
    <col min="2" max="2" width="39" bestFit="1" customWidth="1"/>
    <col min="3" max="3" width="72.7265625" customWidth="1"/>
    <col min="4" max="4" width="43.1796875" bestFit="1" customWidth="1"/>
  </cols>
  <sheetData>
    <row r="1" spans="1:4" ht="18.5" x14ac:dyDescent="0.45">
      <c r="A1" s="19" t="s">
        <v>547</v>
      </c>
      <c r="B1" s="10"/>
      <c r="C1" s="10"/>
      <c r="D1" s="10"/>
    </row>
    <row r="3" spans="1:4" x14ac:dyDescent="0.35">
      <c r="A3" s="12" t="s">
        <v>124</v>
      </c>
      <c r="B3" s="12" t="s">
        <v>548</v>
      </c>
      <c r="C3" s="12" t="s">
        <v>549</v>
      </c>
      <c r="D3" s="12" t="s">
        <v>550</v>
      </c>
    </row>
    <row r="4" spans="1:4" x14ac:dyDescent="0.35">
      <c r="A4" t="s">
        <v>551</v>
      </c>
      <c r="B4" t="s">
        <v>552</v>
      </c>
      <c r="C4" t="s">
        <v>553</v>
      </c>
      <c r="D4" t="s">
        <v>554</v>
      </c>
    </row>
    <row r="5" spans="1:4" x14ac:dyDescent="0.35">
      <c r="A5" t="s">
        <v>551</v>
      </c>
      <c r="B5" t="s">
        <v>555</v>
      </c>
      <c r="C5" t="s">
        <v>556</v>
      </c>
      <c r="D5" t="s">
        <v>557</v>
      </c>
    </row>
    <row r="6" spans="1:4" x14ac:dyDescent="0.35">
      <c r="A6" t="s">
        <v>551</v>
      </c>
      <c r="B6" t="s">
        <v>558</v>
      </c>
      <c r="C6" t="s">
        <v>559</v>
      </c>
      <c r="D6" t="s">
        <v>560</v>
      </c>
    </row>
    <row r="7" spans="1:4" x14ac:dyDescent="0.35">
      <c r="A7" t="s">
        <v>551</v>
      </c>
      <c r="B7" t="s">
        <v>561</v>
      </c>
      <c r="C7" t="s">
        <v>562</v>
      </c>
      <c r="D7" t="s">
        <v>563</v>
      </c>
    </row>
    <row r="9" spans="1:4" x14ac:dyDescent="0.35">
      <c r="A9" t="s">
        <v>564</v>
      </c>
      <c r="B9" t="s">
        <v>565</v>
      </c>
      <c r="C9" t="s">
        <v>566</v>
      </c>
      <c r="D9" t="s">
        <v>567</v>
      </c>
    </row>
    <row r="10" spans="1:4" x14ac:dyDescent="0.35">
      <c r="A10" t="s">
        <v>564</v>
      </c>
      <c r="B10" t="s">
        <v>568</v>
      </c>
      <c r="C10" t="s">
        <v>569</v>
      </c>
      <c r="D10" t="s">
        <v>570</v>
      </c>
    </row>
    <row r="11" spans="1:4" x14ac:dyDescent="0.35">
      <c r="A11" t="s">
        <v>564</v>
      </c>
      <c r="B11" t="s">
        <v>571</v>
      </c>
      <c r="C11" t="s">
        <v>572</v>
      </c>
      <c r="D11" t="s">
        <v>573</v>
      </c>
    </row>
    <row r="12" spans="1:4" x14ac:dyDescent="0.35">
      <c r="A12" t="s">
        <v>564</v>
      </c>
      <c r="B12" t="s">
        <v>574</v>
      </c>
      <c r="C12" t="s">
        <v>566</v>
      </c>
      <c r="D12" t="s">
        <v>575</v>
      </c>
    </row>
    <row r="13" spans="1:4" x14ac:dyDescent="0.35">
      <c r="A13" t="s">
        <v>564</v>
      </c>
      <c r="B13" t="s">
        <v>576</v>
      </c>
      <c r="C13" t="s">
        <v>569</v>
      </c>
      <c r="D13" t="s">
        <v>577</v>
      </c>
    </row>
    <row r="15" spans="1:4" x14ac:dyDescent="0.35">
      <c r="A15" t="s">
        <v>578</v>
      </c>
      <c r="B15" t="s">
        <v>579</v>
      </c>
      <c r="C15" t="s">
        <v>580</v>
      </c>
      <c r="D15" t="s">
        <v>581</v>
      </c>
    </row>
    <row r="16" spans="1:4" x14ac:dyDescent="0.35">
      <c r="A16" t="s">
        <v>578</v>
      </c>
      <c r="B16" t="s">
        <v>582</v>
      </c>
      <c r="C16" t="s">
        <v>583</v>
      </c>
      <c r="D16" t="s">
        <v>584</v>
      </c>
    </row>
    <row r="17" spans="1:4" x14ac:dyDescent="0.35">
      <c r="A17" t="s">
        <v>578</v>
      </c>
      <c r="B17" t="s">
        <v>585</v>
      </c>
      <c r="C17" t="s">
        <v>586</v>
      </c>
      <c r="D17" t="s">
        <v>587</v>
      </c>
    </row>
    <row r="18" spans="1:4" x14ac:dyDescent="0.35">
      <c r="A18" t="s">
        <v>578</v>
      </c>
      <c r="B18" t="s">
        <v>588</v>
      </c>
      <c r="C18" t="s">
        <v>589</v>
      </c>
      <c r="D18" t="s">
        <v>590</v>
      </c>
    </row>
    <row r="19" spans="1:4" x14ac:dyDescent="0.35">
      <c r="A19" t="s">
        <v>578</v>
      </c>
      <c r="B19" t="s">
        <v>591</v>
      </c>
      <c r="C19" t="s">
        <v>580</v>
      </c>
      <c r="D19" t="s">
        <v>515</v>
      </c>
    </row>
    <row r="20" spans="1:4" x14ac:dyDescent="0.35">
      <c r="A20" t="s">
        <v>578</v>
      </c>
      <c r="B20" t="s">
        <v>592</v>
      </c>
      <c r="C20" t="s">
        <v>593</v>
      </c>
      <c r="D20" t="s">
        <v>594</v>
      </c>
    </row>
    <row r="22" spans="1:4" x14ac:dyDescent="0.35">
      <c r="A22" t="s">
        <v>595</v>
      </c>
      <c r="B22" t="s">
        <v>596</v>
      </c>
      <c r="C22" t="s">
        <v>597</v>
      </c>
      <c r="D22" t="s">
        <v>598</v>
      </c>
    </row>
    <row r="23" spans="1:4" x14ac:dyDescent="0.35">
      <c r="A23" t="s">
        <v>595</v>
      </c>
      <c r="B23" t="s">
        <v>599</v>
      </c>
      <c r="C23" t="s">
        <v>600</v>
      </c>
      <c r="D23" t="s">
        <v>601</v>
      </c>
    </row>
    <row r="24" spans="1:4" x14ac:dyDescent="0.35">
      <c r="A24" t="s">
        <v>595</v>
      </c>
      <c r="B24" t="s">
        <v>602</v>
      </c>
      <c r="C24" t="s">
        <v>603</v>
      </c>
      <c r="D24" t="s">
        <v>604</v>
      </c>
    </row>
    <row r="25" spans="1:4" x14ac:dyDescent="0.35">
      <c r="A25" t="s">
        <v>595</v>
      </c>
      <c r="B25" t="s">
        <v>605</v>
      </c>
      <c r="C25" t="s">
        <v>606</v>
      </c>
      <c r="D25" t="s">
        <v>607</v>
      </c>
    </row>
    <row r="26" spans="1:4" x14ac:dyDescent="0.35">
      <c r="A26" t="s">
        <v>595</v>
      </c>
      <c r="B26" t="s">
        <v>608</v>
      </c>
      <c r="C26" t="s">
        <v>609</v>
      </c>
      <c r="D26" t="s">
        <v>610</v>
      </c>
    </row>
    <row r="28" spans="1:4" x14ac:dyDescent="0.35">
      <c r="A28" t="s">
        <v>611</v>
      </c>
      <c r="B28" t="s">
        <v>612</v>
      </c>
      <c r="C28" t="s">
        <v>613</v>
      </c>
      <c r="D28" t="s">
        <v>614</v>
      </c>
    </row>
    <row r="29" spans="1:4" x14ac:dyDescent="0.35">
      <c r="A29" t="s">
        <v>611</v>
      </c>
      <c r="B29" t="s">
        <v>615</v>
      </c>
      <c r="C29" t="s">
        <v>616</v>
      </c>
      <c r="D29" t="s">
        <v>617</v>
      </c>
    </row>
    <row r="30" spans="1:4" x14ac:dyDescent="0.35">
      <c r="A30" t="s">
        <v>611</v>
      </c>
      <c r="B30" t="s">
        <v>618</v>
      </c>
      <c r="C30" t="s">
        <v>619</v>
      </c>
      <c r="D30" t="s">
        <v>620</v>
      </c>
    </row>
    <row r="31" spans="1:4" x14ac:dyDescent="0.35">
      <c r="A31" t="s">
        <v>611</v>
      </c>
      <c r="B31" t="s">
        <v>621</v>
      </c>
      <c r="C31" t="s">
        <v>622</v>
      </c>
      <c r="D31" t="s">
        <v>623</v>
      </c>
    </row>
    <row r="32" spans="1:4" x14ac:dyDescent="0.35">
      <c r="A32" t="s">
        <v>611</v>
      </c>
      <c r="B32" t="s">
        <v>624</v>
      </c>
      <c r="C32" t="s">
        <v>625</v>
      </c>
      <c r="D32" t="s">
        <v>626</v>
      </c>
    </row>
    <row r="34" spans="1:4" x14ac:dyDescent="0.35">
      <c r="A34" t="s">
        <v>627</v>
      </c>
      <c r="B34" t="s">
        <v>628</v>
      </c>
      <c r="C34" t="s">
        <v>629</v>
      </c>
      <c r="D34" t="s">
        <v>630</v>
      </c>
    </row>
    <row r="35" spans="1:4" x14ac:dyDescent="0.35">
      <c r="A35" t="s">
        <v>627</v>
      </c>
      <c r="B35" t="s">
        <v>631</v>
      </c>
      <c r="C35" t="s">
        <v>632</v>
      </c>
      <c r="D35" t="s">
        <v>633</v>
      </c>
    </row>
    <row r="36" spans="1:4" x14ac:dyDescent="0.35">
      <c r="A36" t="s">
        <v>627</v>
      </c>
      <c r="B36" t="s">
        <v>634</v>
      </c>
      <c r="C36" t="s">
        <v>635</v>
      </c>
      <c r="D36" t="s">
        <v>636</v>
      </c>
    </row>
    <row r="38" spans="1:4" x14ac:dyDescent="0.35">
      <c r="A38" t="s">
        <v>637</v>
      </c>
      <c r="B38" t="s">
        <v>638</v>
      </c>
      <c r="C38" t="s">
        <v>639</v>
      </c>
      <c r="D38" t="s">
        <v>640</v>
      </c>
    </row>
    <row r="39" spans="1:4" x14ac:dyDescent="0.35">
      <c r="A39" t="s">
        <v>637</v>
      </c>
      <c r="B39" t="s">
        <v>641</v>
      </c>
      <c r="C39" t="s">
        <v>642</v>
      </c>
      <c r="D39" t="s">
        <v>643</v>
      </c>
    </row>
    <row r="40" spans="1:4" x14ac:dyDescent="0.35">
      <c r="A40" t="s">
        <v>637</v>
      </c>
      <c r="B40" t="s">
        <v>644</v>
      </c>
      <c r="C40" t="s">
        <v>645</v>
      </c>
      <c r="D40" t="s">
        <v>646</v>
      </c>
    </row>
    <row r="41" spans="1:4" x14ac:dyDescent="0.35">
      <c r="A41" t="s">
        <v>637</v>
      </c>
      <c r="B41" t="s">
        <v>647</v>
      </c>
      <c r="C41" t="s">
        <v>648</v>
      </c>
      <c r="D41" t="s">
        <v>649</v>
      </c>
    </row>
    <row r="43" spans="1:4" x14ac:dyDescent="0.35">
      <c r="A43" t="s">
        <v>650</v>
      </c>
      <c r="B43" t="s">
        <v>651</v>
      </c>
      <c r="C43" t="s">
        <v>652</v>
      </c>
      <c r="D43" t="s">
        <v>653</v>
      </c>
    </row>
    <row r="44" spans="1:4" x14ac:dyDescent="0.35">
      <c r="A44" t="s">
        <v>650</v>
      </c>
      <c r="B44" t="s">
        <v>654</v>
      </c>
      <c r="C44" t="s">
        <v>655</v>
      </c>
      <c r="D44" t="s">
        <v>656</v>
      </c>
    </row>
    <row r="45" spans="1:4" x14ac:dyDescent="0.35">
      <c r="A45" t="s">
        <v>650</v>
      </c>
      <c r="B45" t="s">
        <v>657</v>
      </c>
      <c r="C45" t="s">
        <v>658</v>
      </c>
      <c r="D45" t="s">
        <v>659</v>
      </c>
    </row>
    <row r="46" spans="1:4" x14ac:dyDescent="0.35">
      <c r="A46" t="s">
        <v>650</v>
      </c>
      <c r="B46" t="s">
        <v>660</v>
      </c>
      <c r="C46" t="s">
        <v>661</v>
      </c>
      <c r="D46" t="s">
        <v>662</v>
      </c>
    </row>
    <row r="47" spans="1:4" x14ac:dyDescent="0.35">
      <c r="A47" t="s">
        <v>650</v>
      </c>
      <c r="B47" t="s">
        <v>663</v>
      </c>
      <c r="C47" t="s">
        <v>664</v>
      </c>
      <c r="D47" t="s">
        <v>665</v>
      </c>
    </row>
    <row r="49" spans="1:4" x14ac:dyDescent="0.35">
      <c r="A49" t="s">
        <v>666</v>
      </c>
      <c r="B49" t="s">
        <v>667</v>
      </c>
      <c r="C49" t="s">
        <v>668</v>
      </c>
      <c r="D49" t="s">
        <v>669</v>
      </c>
    </row>
    <row r="50" spans="1:4" x14ac:dyDescent="0.35">
      <c r="A50" t="s">
        <v>666</v>
      </c>
      <c r="B50" t="s">
        <v>670</v>
      </c>
      <c r="C50" t="s">
        <v>671</v>
      </c>
      <c r="D50" t="s">
        <v>672</v>
      </c>
    </row>
    <row r="51" spans="1:4" x14ac:dyDescent="0.35">
      <c r="A51" t="s">
        <v>666</v>
      </c>
      <c r="B51" t="s">
        <v>673</v>
      </c>
      <c r="C51" t="s">
        <v>674</v>
      </c>
      <c r="D51" t="s">
        <v>675</v>
      </c>
    </row>
    <row r="53" spans="1:4" x14ac:dyDescent="0.35">
      <c r="A53" t="s">
        <v>676</v>
      </c>
      <c r="B53" t="s">
        <v>677</v>
      </c>
      <c r="C53" t="s">
        <v>678</v>
      </c>
      <c r="D53" t="s">
        <v>679</v>
      </c>
    </row>
    <row r="54" spans="1:4" x14ac:dyDescent="0.35">
      <c r="A54" t="s">
        <v>676</v>
      </c>
      <c r="B54" t="s">
        <v>680</v>
      </c>
      <c r="C54" t="s">
        <v>681</v>
      </c>
      <c r="D54" t="s">
        <v>682</v>
      </c>
    </row>
    <row r="55" spans="1:4" x14ac:dyDescent="0.35">
      <c r="A55" t="s">
        <v>676</v>
      </c>
      <c r="B55" t="s">
        <v>683</v>
      </c>
      <c r="C55" t="s">
        <v>684</v>
      </c>
      <c r="D55" t="s">
        <v>685</v>
      </c>
    </row>
    <row r="57" spans="1:4" x14ac:dyDescent="0.35">
      <c r="A57" t="s">
        <v>686</v>
      </c>
      <c r="B57" t="s">
        <v>687</v>
      </c>
      <c r="C57" t="s">
        <v>688</v>
      </c>
      <c r="D57" t="s">
        <v>689</v>
      </c>
    </row>
    <row r="58" spans="1:4" x14ac:dyDescent="0.35">
      <c r="A58" t="s">
        <v>686</v>
      </c>
      <c r="B58" t="s">
        <v>690</v>
      </c>
      <c r="C58" t="s">
        <v>691</v>
      </c>
      <c r="D58" t="s">
        <v>692</v>
      </c>
    </row>
    <row r="59" spans="1:4" x14ac:dyDescent="0.35">
      <c r="A59" t="s">
        <v>686</v>
      </c>
      <c r="B59" t="s">
        <v>693</v>
      </c>
      <c r="C59" t="s">
        <v>694</v>
      </c>
      <c r="D59" t="s">
        <v>695</v>
      </c>
    </row>
    <row r="60" spans="1:4" x14ac:dyDescent="0.35">
      <c r="A60" t="s">
        <v>686</v>
      </c>
      <c r="B60" t="s">
        <v>696</v>
      </c>
      <c r="C60" t="s">
        <v>697</v>
      </c>
      <c r="D60" t="s">
        <v>698</v>
      </c>
    </row>
    <row r="61" spans="1:4" x14ac:dyDescent="0.35">
      <c r="A61" t="s">
        <v>686</v>
      </c>
      <c r="B61" t="s">
        <v>699</v>
      </c>
      <c r="C61" t="s">
        <v>700</v>
      </c>
      <c r="D61" t="s">
        <v>701</v>
      </c>
    </row>
    <row r="62" spans="1:4" x14ac:dyDescent="0.35">
      <c r="A62" t="s">
        <v>686</v>
      </c>
      <c r="B62" t="s">
        <v>702</v>
      </c>
      <c r="C62" t="s">
        <v>703</v>
      </c>
      <c r="D62" t="s">
        <v>698</v>
      </c>
    </row>
    <row r="64" spans="1:4" x14ac:dyDescent="0.35">
      <c r="A64" t="s">
        <v>704</v>
      </c>
      <c r="B64" t="s">
        <v>705</v>
      </c>
      <c r="C64" t="s">
        <v>706</v>
      </c>
      <c r="D64" t="s">
        <v>707</v>
      </c>
    </row>
    <row r="65" spans="1:4" x14ac:dyDescent="0.35">
      <c r="A65" t="s">
        <v>704</v>
      </c>
      <c r="B65" t="s">
        <v>708</v>
      </c>
      <c r="C65" t="s">
        <v>709</v>
      </c>
      <c r="D65" t="s">
        <v>710</v>
      </c>
    </row>
    <row r="66" spans="1:4" x14ac:dyDescent="0.35">
      <c r="A66" t="s">
        <v>704</v>
      </c>
      <c r="B66" t="s">
        <v>711</v>
      </c>
      <c r="C66" t="s">
        <v>712</v>
      </c>
      <c r="D66" t="s">
        <v>713</v>
      </c>
    </row>
    <row r="67" spans="1:4" x14ac:dyDescent="0.35">
      <c r="A67" t="s">
        <v>704</v>
      </c>
      <c r="B67" t="s">
        <v>714</v>
      </c>
      <c r="C67" t="s">
        <v>703</v>
      </c>
      <c r="D67" t="s">
        <v>715</v>
      </c>
    </row>
    <row r="68" spans="1:4" x14ac:dyDescent="0.35">
      <c r="A68" t="s">
        <v>704</v>
      </c>
      <c r="B68" t="s">
        <v>716</v>
      </c>
      <c r="C68" t="s">
        <v>717</v>
      </c>
      <c r="D68" t="s">
        <v>718</v>
      </c>
    </row>
    <row r="69" spans="1:4" x14ac:dyDescent="0.35">
      <c r="A69" t="s">
        <v>704</v>
      </c>
      <c r="B69" t="s">
        <v>719</v>
      </c>
      <c r="C69" t="s">
        <v>720</v>
      </c>
      <c r="D69" t="s">
        <v>721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0142-9BB9-4B3E-BF4B-5A6EBF257B9D}">
  <dimension ref="A1:B193"/>
  <sheetViews>
    <sheetView workbookViewId="0">
      <selection sqref="A1:B1"/>
    </sheetView>
  </sheetViews>
  <sheetFormatPr defaultRowHeight="14.5" x14ac:dyDescent="0.35"/>
  <cols>
    <col min="1" max="1" width="109.08984375" customWidth="1"/>
  </cols>
  <sheetData>
    <row r="1" spans="1:2" ht="18.5" x14ac:dyDescent="0.45">
      <c r="A1" s="19" t="s">
        <v>722</v>
      </c>
      <c r="B1" s="10"/>
    </row>
    <row r="3" spans="1:2" x14ac:dyDescent="0.35">
      <c r="A3" s="12" t="s">
        <v>723</v>
      </c>
    </row>
    <row r="4" spans="1:2" x14ac:dyDescent="0.35">
      <c r="A4" t="s">
        <v>723</v>
      </c>
    </row>
    <row r="6" spans="1:2" x14ac:dyDescent="0.35">
      <c r="A6" t="s">
        <v>724</v>
      </c>
    </row>
    <row r="8" spans="1:2" x14ac:dyDescent="0.35">
      <c r="A8" t="s">
        <v>725</v>
      </c>
    </row>
    <row r="9" spans="1:2" x14ac:dyDescent="0.35">
      <c r="A9" t="s">
        <v>726</v>
      </c>
    </row>
    <row r="10" spans="1:2" x14ac:dyDescent="0.35">
      <c r="A10" t="s">
        <v>727</v>
      </c>
    </row>
    <row r="11" spans="1:2" x14ac:dyDescent="0.35">
      <c r="A11" t="s">
        <v>728</v>
      </c>
    </row>
    <row r="12" spans="1:2" x14ac:dyDescent="0.35">
      <c r="A12" t="s">
        <v>729</v>
      </c>
    </row>
    <row r="13" spans="1:2" x14ac:dyDescent="0.35">
      <c r="A13" t="s">
        <v>730</v>
      </c>
    </row>
    <row r="14" spans="1:2" x14ac:dyDescent="0.35">
      <c r="A14" t="s">
        <v>731</v>
      </c>
    </row>
    <row r="15" spans="1:2" x14ac:dyDescent="0.35">
      <c r="A15" t="s">
        <v>732</v>
      </c>
    </row>
    <row r="16" spans="1:2" x14ac:dyDescent="0.35">
      <c r="A16" t="s">
        <v>733</v>
      </c>
    </row>
    <row r="17" spans="1:1" x14ac:dyDescent="0.35">
      <c r="A17" t="s">
        <v>729</v>
      </c>
    </row>
    <row r="18" spans="1:1" x14ac:dyDescent="0.35">
      <c r="A18" t="s">
        <v>734</v>
      </c>
    </row>
    <row r="19" spans="1:1" x14ac:dyDescent="0.35">
      <c r="A19" t="s">
        <v>735</v>
      </c>
    </row>
    <row r="20" spans="1:1" x14ac:dyDescent="0.35">
      <c r="A20" t="s">
        <v>736</v>
      </c>
    </row>
    <row r="21" spans="1:1" x14ac:dyDescent="0.35">
      <c r="A21" t="s">
        <v>737</v>
      </c>
    </row>
    <row r="22" spans="1:1" x14ac:dyDescent="0.35">
      <c r="A22" t="s">
        <v>738</v>
      </c>
    </row>
    <row r="23" spans="1:1" x14ac:dyDescent="0.35">
      <c r="A23" t="s">
        <v>739</v>
      </c>
    </row>
    <row r="24" spans="1:1" x14ac:dyDescent="0.35">
      <c r="A24" t="s">
        <v>740</v>
      </c>
    </row>
    <row r="25" spans="1:1" x14ac:dyDescent="0.35">
      <c r="A25" t="s">
        <v>741</v>
      </c>
    </row>
    <row r="26" spans="1:1" x14ac:dyDescent="0.35">
      <c r="A26" t="s">
        <v>742</v>
      </c>
    </row>
    <row r="27" spans="1:1" x14ac:dyDescent="0.35">
      <c r="A27" t="s">
        <v>743</v>
      </c>
    </row>
    <row r="28" spans="1:1" x14ac:dyDescent="0.35">
      <c r="A28" t="s">
        <v>744</v>
      </c>
    </row>
    <row r="29" spans="1:1" x14ac:dyDescent="0.35">
      <c r="A29" t="s">
        <v>745</v>
      </c>
    </row>
    <row r="30" spans="1:1" x14ac:dyDescent="0.35">
      <c r="A30" t="s">
        <v>729</v>
      </c>
    </row>
    <row r="31" spans="1:1" x14ac:dyDescent="0.35">
      <c r="A31" t="s">
        <v>746</v>
      </c>
    </row>
    <row r="32" spans="1:1" x14ac:dyDescent="0.35">
      <c r="A32" t="s">
        <v>747</v>
      </c>
    </row>
    <row r="33" spans="1:1" x14ac:dyDescent="0.35">
      <c r="A33" t="s">
        <v>748</v>
      </c>
    </row>
    <row r="34" spans="1:1" x14ac:dyDescent="0.35">
      <c r="A34" t="s">
        <v>749</v>
      </c>
    </row>
    <row r="35" spans="1:1" x14ac:dyDescent="0.35">
      <c r="A35" t="s">
        <v>729</v>
      </c>
    </row>
    <row r="36" spans="1:1" x14ac:dyDescent="0.35">
      <c r="A36" t="s">
        <v>750</v>
      </c>
    </row>
    <row r="37" spans="1:1" x14ac:dyDescent="0.35">
      <c r="A37" t="s">
        <v>751</v>
      </c>
    </row>
    <row r="38" spans="1:1" x14ac:dyDescent="0.35">
      <c r="A38" t="s">
        <v>752</v>
      </c>
    </row>
    <row r="39" spans="1:1" x14ac:dyDescent="0.35">
      <c r="A39" t="s">
        <v>753</v>
      </c>
    </row>
    <row r="40" spans="1:1" x14ac:dyDescent="0.35">
      <c r="A40" t="s">
        <v>754</v>
      </c>
    </row>
    <row r="41" spans="1:1" x14ac:dyDescent="0.35">
      <c r="A41" t="s">
        <v>729</v>
      </c>
    </row>
    <row r="42" spans="1:1" x14ac:dyDescent="0.35">
      <c r="A42" t="s">
        <v>755</v>
      </c>
    </row>
    <row r="43" spans="1:1" x14ac:dyDescent="0.35">
      <c r="A43" t="s">
        <v>756</v>
      </c>
    </row>
    <row r="44" spans="1:1" x14ac:dyDescent="0.35">
      <c r="A44" t="s">
        <v>757</v>
      </c>
    </row>
    <row r="45" spans="1:1" x14ac:dyDescent="0.35">
      <c r="A45" t="s">
        <v>758</v>
      </c>
    </row>
    <row r="46" spans="1:1" x14ac:dyDescent="0.35">
      <c r="A46" t="s">
        <v>729</v>
      </c>
    </row>
    <row r="47" spans="1:1" x14ac:dyDescent="0.35">
      <c r="A47" t="s">
        <v>759</v>
      </c>
    </row>
    <row r="48" spans="1:1" x14ac:dyDescent="0.35">
      <c r="A48" t="s">
        <v>760</v>
      </c>
    </row>
    <row r="49" spans="1:1" x14ac:dyDescent="0.35">
      <c r="A49" t="s">
        <v>729</v>
      </c>
    </row>
    <row r="50" spans="1:1" x14ac:dyDescent="0.35">
      <c r="A50" t="s">
        <v>761</v>
      </c>
    </row>
    <row r="51" spans="1:1" x14ac:dyDescent="0.35">
      <c r="A51" t="s">
        <v>762</v>
      </c>
    </row>
    <row r="52" spans="1:1" x14ac:dyDescent="0.35">
      <c r="A52" t="s">
        <v>763</v>
      </c>
    </row>
    <row r="53" spans="1:1" x14ac:dyDescent="0.35">
      <c r="A53" t="s">
        <v>764</v>
      </c>
    </row>
    <row r="54" spans="1:1" x14ac:dyDescent="0.35">
      <c r="A54" t="s">
        <v>765</v>
      </c>
    </row>
    <row r="55" spans="1:1" x14ac:dyDescent="0.35">
      <c r="A55" t="s">
        <v>729</v>
      </c>
    </row>
    <row r="56" spans="1:1" x14ac:dyDescent="0.35">
      <c r="A56" t="s">
        <v>766</v>
      </c>
    </row>
    <row r="57" spans="1:1" x14ac:dyDescent="0.35">
      <c r="A57" t="s">
        <v>767</v>
      </c>
    </row>
    <row r="58" spans="1:1" x14ac:dyDescent="0.35">
      <c r="A58" t="s">
        <v>768</v>
      </c>
    </row>
    <row r="59" spans="1:1" x14ac:dyDescent="0.35">
      <c r="A59" t="s">
        <v>769</v>
      </c>
    </row>
    <row r="60" spans="1:1" x14ac:dyDescent="0.35">
      <c r="A60" s="12" t="s">
        <v>771</v>
      </c>
    </row>
    <row r="61" spans="1:1" x14ac:dyDescent="0.35">
      <c r="A61" t="s">
        <v>772</v>
      </c>
    </row>
    <row r="63" spans="1:1" x14ac:dyDescent="0.35">
      <c r="A63" t="s">
        <v>773</v>
      </c>
    </row>
    <row r="64" spans="1:1" x14ac:dyDescent="0.35">
      <c r="A64" t="s">
        <v>726</v>
      </c>
    </row>
    <row r="65" spans="1:1" x14ac:dyDescent="0.35">
      <c r="A65" t="s">
        <v>774</v>
      </c>
    </row>
    <row r="66" spans="1:1" x14ac:dyDescent="0.35">
      <c r="A66" t="s">
        <v>775</v>
      </c>
    </row>
    <row r="67" spans="1:1" x14ac:dyDescent="0.35">
      <c r="A67" t="s">
        <v>729</v>
      </c>
    </row>
    <row r="68" spans="1:1" x14ac:dyDescent="0.35">
      <c r="A68" t="s">
        <v>776</v>
      </c>
    </row>
    <row r="69" spans="1:1" x14ac:dyDescent="0.35">
      <c r="A69" t="s">
        <v>748</v>
      </c>
    </row>
    <row r="70" spans="1:1" x14ac:dyDescent="0.35">
      <c r="A70" t="s">
        <v>731</v>
      </c>
    </row>
    <row r="71" spans="1:1" x14ac:dyDescent="0.35">
      <c r="A71" t="s">
        <v>777</v>
      </c>
    </row>
    <row r="72" spans="1:1" x14ac:dyDescent="0.35">
      <c r="A72" t="s">
        <v>729</v>
      </c>
    </row>
    <row r="73" spans="1:1" x14ac:dyDescent="0.35">
      <c r="A73" t="s">
        <v>778</v>
      </c>
    </row>
    <row r="74" spans="1:1" x14ac:dyDescent="0.35">
      <c r="A74" t="s">
        <v>779</v>
      </c>
    </row>
    <row r="75" spans="1:1" x14ac:dyDescent="0.35">
      <c r="A75" t="s">
        <v>780</v>
      </c>
    </row>
    <row r="76" spans="1:1" x14ac:dyDescent="0.35">
      <c r="A76" t="s">
        <v>781</v>
      </c>
    </row>
    <row r="77" spans="1:1" x14ac:dyDescent="0.35">
      <c r="A77" t="s">
        <v>782</v>
      </c>
    </row>
    <row r="78" spans="1:1" x14ac:dyDescent="0.35">
      <c r="A78" t="s">
        <v>783</v>
      </c>
    </row>
    <row r="79" spans="1:1" x14ac:dyDescent="0.35">
      <c r="A79" t="s">
        <v>729</v>
      </c>
    </row>
    <row r="80" spans="1:1" x14ac:dyDescent="0.35">
      <c r="A80" t="s">
        <v>784</v>
      </c>
    </row>
    <row r="81" spans="1:1" x14ac:dyDescent="0.35">
      <c r="A81" t="s">
        <v>785</v>
      </c>
    </row>
    <row r="82" spans="1:1" x14ac:dyDescent="0.35">
      <c r="A82" t="s">
        <v>786</v>
      </c>
    </row>
    <row r="83" spans="1:1" x14ac:dyDescent="0.35">
      <c r="A83" t="s">
        <v>729</v>
      </c>
    </row>
    <row r="84" spans="1:1" x14ac:dyDescent="0.35">
      <c r="A84" t="s">
        <v>787</v>
      </c>
    </row>
    <row r="85" spans="1:1" x14ac:dyDescent="0.35">
      <c r="A85" t="s">
        <v>788</v>
      </c>
    </row>
    <row r="86" spans="1:1" x14ac:dyDescent="0.35">
      <c r="A86" t="s">
        <v>789</v>
      </c>
    </row>
    <row r="87" spans="1:1" x14ac:dyDescent="0.35">
      <c r="A87" t="s">
        <v>790</v>
      </c>
    </row>
    <row r="88" spans="1:1" x14ac:dyDescent="0.35">
      <c r="A88" t="s">
        <v>791</v>
      </c>
    </row>
    <row r="89" spans="1:1" x14ac:dyDescent="0.35">
      <c r="A89" t="s">
        <v>792</v>
      </c>
    </row>
    <row r="90" spans="1:1" x14ac:dyDescent="0.35">
      <c r="A90" t="s">
        <v>793</v>
      </c>
    </row>
    <row r="91" spans="1:1" x14ac:dyDescent="0.35">
      <c r="A91" t="s">
        <v>790</v>
      </c>
    </row>
    <row r="92" spans="1:1" x14ac:dyDescent="0.35">
      <c r="A92" t="s">
        <v>794</v>
      </c>
    </row>
    <row r="93" spans="1:1" x14ac:dyDescent="0.35">
      <c r="A93" t="s">
        <v>795</v>
      </c>
    </row>
    <row r="94" spans="1:1" x14ac:dyDescent="0.35">
      <c r="A94" t="s">
        <v>796</v>
      </c>
    </row>
    <row r="95" spans="1:1" x14ac:dyDescent="0.35">
      <c r="A95" t="s">
        <v>797</v>
      </c>
    </row>
    <row r="96" spans="1:1" x14ac:dyDescent="0.35">
      <c r="A96" t="s">
        <v>798</v>
      </c>
    </row>
    <row r="97" spans="1:1" x14ac:dyDescent="0.35">
      <c r="A97" t="s">
        <v>745</v>
      </c>
    </row>
    <row r="98" spans="1:1" x14ac:dyDescent="0.35">
      <c r="A98" t="s">
        <v>729</v>
      </c>
    </row>
    <row r="99" spans="1:1" x14ac:dyDescent="0.35">
      <c r="A99" t="s">
        <v>799</v>
      </c>
    </row>
    <row r="100" spans="1:1" x14ac:dyDescent="0.35">
      <c r="A100" t="s">
        <v>800</v>
      </c>
    </row>
    <row r="101" spans="1:1" x14ac:dyDescent="0.35">
      <c r="A101" t="s">
        <v>801</v>
      </c>
    </row>
    <row r="102" spans="1:1" x14ac:dyDescent="0.35">
      <c r="A102" t="s">
        <v>802</v>
      </c>
    </row>
    <row r="103" spans="1:1" x14ac:dyDescent="0.35">
      <c r="A103" t="s">
        <v>803</v>
      </c>
    </row>
    <row r="104" spans="1:1" x14ac:dyDescent="0.35">
      <c r="A104" t="s">
        <v>790</v>
      </c>
    </row>
    <row r="105" spans="1:1" x14ac:dyDescent="0.35">
      <c r="A105" t="s">
        <v>804</v>
      </c>
    </row>
    <row r="106" spans="1:1" x14ac:dyDescent="0.35">
      <c r="A106" t="s">
        <v>790</v>
      </c>
    </row>
    <row r="107" spans="1:1" x14ac:dyDescent="0.35">
      <c r="A107" t="s">
        <v>805</v>
      </c>
    </row>
    <row r="108" spans="1:1" x14ac:dyDescent="0.35">
      <c r="A108" t="s">
        <v>806</v>
      </c>
    </row>
    <row r="109" spans="1:1" x14ac:dyDescent="0.35">
      <c r="A109" t="s">
        <v>807</v>
      </c>
    </row>
    <row r="110" spans="1:1" x14ac:dyDescent="0.35">
      <c r="A110" t="s">
        <v>808</v>
      </c>
    </row>
    <row r="111" spans="1:1" x14ac:dyDescent="0.35">
      <c r="A111" t="s">
        <v>809</v>
      </c>
    </row>
    <row r="112" spans="1:1" x14ac:dyDescent="0.35">
      <c r="A112" t="s">
        <v>810</v>
      </c>
    </row>
    <row r="113" spans="1:1" x14ac:dyDescent="0.35">
      <c r="A113" t="s">
        <v>798</v>
      </c>
    </row>
    <row r="114" spans="1:1" x14ac:dyDescent="0.35">
      <c r="A114" t="s">
        <v>790</v>
      </c>
    </row>
    <row r="115" spans="1:1" x14ac:dyDescent="0.35">
      <c r="A115" t="s">
        <v>811</v>
      </c>
    </row>
    <row r="116" spans="1:1" x14ac:dyDescent="0.35">
      <c r="A116" t="s">
        <v>812</v>
      </c>
    </row>
    <row r="117" spans="1:1" x14ac:dyDescent="0.35">
      <c r="A117" t="s">
        <v>798</v>
      </c>
    </row>
    <row r="118" spans="1:1" x14ac:dyDescent="0.35">
      <c r="A118" t="s">
        <v>790</v>
      </c>
    </row>
    <row r="119" spans="1:1" x14ac:dyDescent="0.35">
      <c r="A119" t="s">
        <v>813</v>
      </c>
    </row>
    <row r="120" spans="1:1" x14ac:dyDescent="0.35">
      <c r="A120" t="s">
        <v>814</v>
      </c>
    </row>
    <row r="121" spans="1:1" x14ac:dyDescent="0.35">
      <c r="A121" t="s">
        <v>815</v>
      </c>
    </row>
    <row r="122" spans="1:1" x14ac:dyDescent="0.35">
      <c r="A122" t="s">
        <v>816</v>
      </c>
    </row>
    <row r="123" spans="1:1" x14ac:dyDescent="0.35">
      <c r="A123" t="s">
        <v>817</v>
      </c>
    </row>
    <row r="124" spans="1:1" x14ac:dyDescent="0.35">
      <c r="A124" t="s">
        <v>745</v>
      </c>
    </row>
    <row r="125" spans="1:1" x14ac:dyDescent="0.35">
      <c r="A125" t="s">
        <v>770</v>
      </c>
    </row>
    <row r="130" spans="1:1" x14ac:dyDescent="0.35">
      <c r="A130" s="12" t="s">
        <v>818</v>
      </c>
    </row>
    <row r="131" spans="1:1" x14ac:dyDescent="0.35">
      <c r="A131" t="s">
        <v>819</v>
      </c>
    </row>
    <row r="132" spans="1:1" x14ac:dyDescent="0.35">
      <c r="A132" t="s">
        <v>820</v>
      </c>
    </row>
    <row r="134" spans="1:1" x14ac:dyDescent="0.35">
      <c r="A134" t="s">
        <v>821</v>
      </c>
    </row>
    <row r="135" spans="1:1" x14ac:dyDescent="0.35">
      <c r="A135" t="s">
        <v>822</v>
      </c>
    </row>
    <row r="136" spans="1:1" x14ac:dyDescent="0.35">
      <c r="A136" t="s">
        <v>823</v>
      </c>
    </row>
    <row r="137" spans="1:1" x14ac:dyDescent="0.35">
      <c r="A137" t="s">
        <v>824</v>
      </c>
    </row>
    <row r="138" spans="1:1" x14ac:dyDescent="0.35">
      <c r="A138" t="s">
        <v>825</v>
      </c>
    </row>
    <row r="139" spans="1:1" x14ac:dyDescent="0.35">
      <c r="A139" t="s">
        <v>729</v>
      </c>
    </row>
    <row r="140" spans="1:1" x14ac:dyDescent="0.35">
      <c r="A140" t="s">
        <v>826</v>
      </c>
    </row>
    <row r="141" spans="1:1" x14ac:dyDescent="0.35">
      <c r="A141" t="s">
        <v>827</v>
      </c>
    </row>
    <row r="142" spans="1:1" x14ac:dyDescent="0.35">
      <c r="A142" t="s">
        <v>729</v>
      </c>
    </row>
    <row r="143" spans="1:1" x14ac:dyDescent="0.35">
      <c r="A143" t="s">
        <v>828</v>
      </c>
    </row>
    <row r="144" spans="1:1" x14ac:dyDescent="0.35">
      <c r="A144" t="s">
        <v>829</v>
      </c>
    </row>
    <row r="145" spans="1:1" x14ac:dyDescent="0.35">
      <c r="A145" t="s">
        <v>729</v>
      </c>
    </row>
    <row r="146" spans="1:1" x14ac:dyDescent="0.35">
      <c r="A146" t="s">
        <v>830</v>
      </c>
    </row>
    <row r="147" spans="1:1" x14ac:dyDescent="0.35">
      <c r="A147" t="s">
        <v>831</v>
      </c>
    </row>
    <row r="148" spans="1:1" x14ac:dyDescent="0.35">
      <c r="A148" t="s">
        <v>729</v>
      </c>
    </row>
    <row r="149" spans="1:1" x14ac:dyDescent="0.35">
      <c r="A149" t="s">
        <v>832</v>
      </c>
    </row>
    <row r="150" spans="1:1" x14ac:dyDescent="0.35">
      <c r="A150" t="s">
        <v>833</v>
      </c>
    </row>
    <row r="151" spans="1:1" x14ac:dyDescent="0.35">
      <c r="A151" t="s">
        <v>834</v>
      </c>
    </row>
    <row r="152" spans="1:1" x14ac:dyDescent="0.35">
      <c r="A152" t="s">
        <v>729</v>
      </c>
    </row>
    <row r="153" spans="1:1" x14ac:dyDescent="0.35">
      <c r="A153" t="s">
        <v>835</v>
      </c>
    </row>
    <row r="154" spans="1:1" x14ac:dyDescent="0.35">
      <c r="A154" t="s">
        <v>770</v>
      </c>
    </row>
    <row r="156" spans="1:1" x14ac:dyDescent="0.35">
      <c r="A156" t="s">
        <v>836</v>
      </c>
    </row>
    <row r="157" spans="1:1" x14ac:dyDescent="0.35">
      <c r="A157" t="s">
        <v>837</v>
      </c>
    </row>
    <row r="158" spans="1:1" x14ac:dyDescent="0.35">
      <c r="A158" t="s">
        <v>838</v>
      </c>
    </row>
    <row r="159" spans="1:1" x14ac:dyDescent="0.35">
      <c r="A159" t="s">
        <v>839</v>
      </c>
    </row>
    <row r="160" spans="1:1" x14ac:dyDescent="0.35">
      <c r="A160" t="s">
        <v>740</v>
      </c>
    </row>
    <row r="161" spans="1:1" x14ac:dyDescent="0.35">
      <c r="A161" t="s">
        <v>840</v>
      </c>
    </row>
    <row r="162" spans="1:1" x14ac:dyDescent="0.35">
      <c r="A162" t="s">
        <v>745</v>
      </c>
    </row>
    <row r="163" spans="1:1" x14ac:dyDescent="0.35">
      <c r="A163" t="s">
        <v>770</v>
      </c>
    </row>
    <row r="165" spans="1:1" x14ac:dyDescent="0.35">
      <c r="A165" s="12" t="s">
        <v>841</v>
      </c>
    </row>
    <row r="166" spans="1:1" x14ac:dyDescent="0.35">
      <c r="A166" t="s">
        <v>842</v>
      </c>
    </row>
    <row r="167" spans="1:1" x14ac:dyDescent="0.35">
      <c r="A167" t="s">
        <v>843</v>
      </c>
    </row>
    <row r="169" spans="1:1" x14ac:dyDescent="0.35">
      <c r="A169" t="s">
        <v>844</v>
      </c>
    </row>
    <row r="170" spans="1:1" x14ac:dyDescent="0.35">
      <c r="A170" t="s">
        <v>845</v>
      </c>
    </row>
    <row r="171" spans="1:1" x14ac:dyDescent="0.35">
      <c r="A171" t="s">
        <v>846</v>
      </c>
    </row>
    <row r="172" spans="1:1" x14ac:dyDescent="0.35">
      <c r="A172" t="s">
        <v>847</v>
      </c>
    </row>
    <row r="173" spans="1:1" x14ac:dyDescent="0.35">
      <c r="A173" t="s">
        <v>790</v>
      </c>
    </row>
    <row r="174" spans="1:1" x14ac:dyDescent="0.35">
      <c r="A174" t="s">
        <v>848</v>
      </c>
    </row>
    <row r="175" spans="1:1" x14ac:dyDescent="0.35">
      <c r="A175" t="s">
        <v>849</v>
      </c>
    </row>
    <row r="176" spans="1:1" x14ac:dyDescent="0.35">
      <c r="A176" t="s">
        <v>850</v>
      </c>
    </row>
    <row r="177" spans="1:1" x14ac:dyDescent="0.35">
      <c r="A177" t="s">
        <v>851</v>
      </c>
    </row>
    <row r="178" spans="1:1" x14ac:dyDescent="0.35">
      <c r="A178" t="s">
        <v>852</v>
      </c>
    </row>
    <row r="179" spans="1:1" x14ac:dyDescent="0.35">
      <c r="A179" t="s">
        <v>853</v>
      </c>
    </row>
    <row r="180" spans="1:1" x14ac:dyDescent="0.35">
      <c r="A180" t="s">
        <v>854</v>
      </c>
    </row>
    <row r="181" spans="1:1" x14ac:dyDescent="0.35">
      <c r="A181" t="s">
        <v>855</v>
      </c>
    </row>
    <row r="182" spans="1:1" x14ac:dyDescent="0.35">
      <c r="A182" t="s">
        <v>856</v>
      </c>
    </row>
    <row r="183" spans="1:1" x14ac:dyDescent="0.35">
      <c r="A183" t="s">
        <v>798</v>
      </c>
    </row>
    <row r="184" spans="1:1" x14ac:dyDescent="0.35">
      <c r="A184" t="s">
        <v>857</v>
      </c>
    </row>
    <row r="185" spans="1:1" x14ac:dyDescent="0.35">
      <c r="A185" t="s">
        <v>858</v>
      </c>
    </row>
    <row r="186" spans="1:1" x14ac:dyDescent="0.35">
      <c r="A186" t="s">
        <v>745</v>
      </c>
    </row>
    <row r="187" spans="1:1" x14ac:dyDescent="0.35">
      <c r="A187" t="s">
        <v>859</v>
      </c>
    </row>
    <row r="188" spans="1:1" x14ac:dyDescent="0.35">
      <c r="A188" t="s">
        <v>770</v>
      </c>
    </row>
    <row r="190" spans="1:1" x14ac:dyDescent="0.35">
      <c r="A190" t="s">
        <v>860</v>
      </c>
    </row>
    <row r="191" spans="1:1" x14ac:dyDescent="0.35">
      <c r="A191" t="s">
        <v>861</v>
      </c>
    </row>
    <row r="192" spans="1:1" x14ac:dyDescent="0.35">
      <c r="A192" t="s">
        <v>862</v>
      </c>
    </row>
    <row r="193" spans="1:1" x14ac:dyDescent="0.35">
      <c r="A193" t="s">
        <v>770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CDA8-5A8A-4BE7-BAE9-AE80CF7F67A7}">
  <dimension ref="A1:D103"/>
  <sheetViews>
    <sheetView workbookViewId="0">
      <selection sqref="A1:D1"/>
    </sheetView>
  </sheetViews>
  <sheetFormatPr defaultRowHeight="14.5" x14ac:dyDescent="0.35"/>
  <cols>
    <col min="1" max="1" width="60.90625" bestFit="1" customWidth="1"/>
    <col min="2" max="2" width="47.26953125" bestFit="1" customWidth="1"/>
    <col min="3" max="3" width="33.08984375" bestFit="1" customWidth="1"/>
    <col min="4" max="4" width="24.90625" bestFit="1" customWidth="1"/>
  </cols>
  <sheetData>
    <row r="1" spans="1:4" ht="35" customHeight="1" x14ac:dyDescent="0.5">
      <c r="A1" s="23" t="s">
        <v>863</v>
      </c>
      <c r="B1" s="10"/>
      <c r="C1" s="10"/>
      <c r="D1" s="10"/>
    </row>
    <row r="3" spans="1:4" ht="18.5" x14ac:dyDescent="0.45">
      <c r="A3" s="24" t="s">
        <v>864</v>
      </c>
    </row>
    <row r="5" spans="1:4" x14ac:dyDescent="0.35">
      <c r="A5" t="s">
        <v>865</v>
      </c>
    </row>
    <row r="6" spans="1:4" x14ac:dyDescent="0.35">
      <c r="A6" s="12" t="s">
        <v>866</v>
      </c>
      <c r="B6" s="12" t="s">
        <v>867</v>
      </c>
      <c r="C6" s="12" t="s">
        <v>868</v>
      </c>
      <c r="D6" s="12" t="s">
        <v>869</v>
      </c>
    </row>
    <row r="7" spans="1:4" x14ac:dyDescent="0.35">
      <c r="A7">
        <v>1.1000000000000001</v>
      </c>
      <c r="B7" t="s">
        <v>870</v>
      </c>
      <c r="C7" t="s">
        <v>871</v>
      </c>
      <c r="D7" t="s">
        <v>872</v>
      </c>
    </row>
    <row r="8" spans="1:4" x14ac:dyDescent="0.35">
      <c r="A8">
        <v>1.2</v>
      </c>
      <c r="B8" t="s">
        <v>873</v>
      </c>
      <c r="C8" t="s">
        <v>874</v>
      </c>
      <c r="D8" t="s">
        <v>875</v>
      </c>
    </row>
    <row r="9" spans="1:4" x14ac:dyDescent="0.35">
      <c r="A9">
        <v>1.3</v>
      </c>
      <c r="B9" t="s">
        <v>876</v>
      </c>
      <c r="C9" t="s">
        <v>877</v>
      </c>
      <c r="D9" t="s">
        <v>878</v>
      </c>
    </row>
    <row r="11" spans="1:4" x14ac:dyDescent="0.35">
      <c r="A11" t="s">
        <v>879</v>
      </c>
    </row>
    <row r="12" spans="1:4" x14ac:dyDescent="0.35">
      <c r="A12" s="12" t="s">
        <v>866</v>
      </c>
      <c r="B12" s="12" t="s">
        <v>867</v>
      </c>
      <c r="C12" s="12" t="s">
        <v>868</v>
      </c>
      <c r="D12" s="12" t="s">
        <v>869</v>
      </c>
    </row>
    <row r="13" spans="1:4" x14ac:dyDescent="0.35">
      <c r="A13">
        <v>2.1</v>
      </c>
      <c r="B13" t="s">
        <v>880</v>
      </c>
      <c r="C13" t="s">
        <v>881</v>
      </c>
      <c r="D13" t="s">
        <v>882</v>
      </c>
    </row>
    <row r="14" spans="1:4" x14ac:dyDescent="0.35">
      <c r="A14">
        <v>2.2000000000000002</v>
      </c>
      <c r="B14" t="s">
        <v>883</v>
      </c>
      <c r="C14" t="s">
        <v>884</v>
      </c>
      <c r="D14" t="s">
        <v>885</v>
      </c>
    </row>
    <row r="15" spans="1:4" x14ac:dyDescent="0.35">
      <c r="A15">
        <v>2.2999999999999998</v>
      </c>
      <c r="B15" t="s">
        <v>886</v>
      </c>
      <c r="C15" t="s">
        <v>887</v>
      </c>
      <c r="D15" t="s">
        <v>888</v>
      </c>
    </row>
    <row r="16" spans="1:4" x14ac:dyDescent="0.35">
      <c r="A16">
        <v>2.4</v>
      </c>
      <c r="B16" t="s">
        <v>889</v>
      </c>
      <c r="C16" t="s">
        <v>890</v>
      </c>
    </row>
    <row r="17" spans="1:4" x14ac:dyDescent="0.35">
      <c r="A17">
        <v>2.5</v>
      </c>
      <c r="B17" t="s">
        <v>891</v>
      </c>
      <c r="C17" t="s">
        <v>892</v>
      </c>
      <c r="D17" t="s">
        <v>893</v>
      </c>
    </row>
    <row r="18" spans="1:4" x14ac:dyDescent="0.35">
      <c r="A18">
        <v>2.6</v>
      </c>
      <c r="B18" t="s">
        <v>894</v>
      </c>
      <c r="C18" t="s">
        <v>895</v>
      </c>
    </row>
    <row r="19" spans="1:4" x14ac:dyDescent="0.35">
      <c r="A19">
        <v>2.7</v>
      </c>
      <c r="B19" t="s">
        <v>896</v>
      </c>
      <c r="C19" t="s">
        <v>897</v>
      </c>
      <c r="D19" t="s">
        <v>898</v>
      </c>
    </row>
    <row r="20" spans="1:4" x14ac:dyDescent="0.35">
      <c r="A20">
        <v>2.8</v>
      </c>
      <c r="B20" t="s">
        <v>899</v>
      </c>
      <c r="C20" t="s">
        <v>900</v>
      </c>
      <c r="D20" t="s">
        <v>901</v>
      </c>
    </row>
    <row r="21" spans="1:4" x14ac:dyDescent="0.35">
      <c r="A21">
        <v>2.9</v>
      </c>
      <c r="B21" t="s">
        <v>902</v>
      </c>
      <c r="C21" t="s">
        <v>903</v>
      </c>
      <c r="D21" t="s">
        <v>904</v>
      </c>
    </row>
    <row r="22" spans="1:4" x14ac:dyDescent="0.35">
      <c r="A22">
        <v>2.1</v>
      </c>
      <c r="B22" t="s">
        <v>905</v>
      </c>
      <c r="C22" t="s">
        <v>903</v>
      </c>
    </row>
    <row r="23" spans="1:4" x14ac:dyDescent="0.35">
      <c r="A23">
        <v>2.11</v>
      </c>
      <c r="B23" t="s">
        <v>906</v>
      </c>
      <c r="C23" t="s">
        <v>903</v>
      </c>
    </row>
    <row r="24" spans="1:4" x14ac:dyDescent="0.35">
      <c r="A24">
        <v>2.12</v>
      </c>
      <c r="B24" t="s">
        <v>907</v>
      </c>
      <c r="C24" t="s">
        <v>908</v>
      </c>
      <c r="D24" t="s">
        <v>909</v>
      </c>
    </row>
    <row r="25" spans="1:4" x14ac:dyDescent="0.35">
      <c r="A25">
        <v>2.13</v>
      </c>
      <c r="B25" t="s">
        <v>910</v>
      </c>
      <c r="C25" t="s">
        <v>911</v>
      </c>
    </row>
    <row r="26" spans="1:4" x14ac:dyDescent="0.35">
      <c r="A26">
        <v>2.14</v>
      </c>
      <c r="B26" t="s">
        <v>912</v>
      </c>
      <c r="C26" t="s">
        <v>892</v>
      </c>
      <c r="D26" t="s">
        <v>913</v>
      </c>
    </row>
    <row r="27" spans="1:4" x14ac:dyDescent="0.35">
      <c r="A27">
        <v>2.15</v>
      </c>
      <c r="B27" t="s">
        <v>914</v>
      </c>
      <c r="C27" t="s">
        <v>915</v>
      </c>
    </row>
    <row r="28" spans="1:4" x14ac:dyDescent="0.35">
      <c r="A28">
        <v>2.16</v>
      </c>
      <c r="B28" t="s">
        <v>916</v>
      </c>
      <c r="C28" t="s">
        <v>917</v>
      </c>
    </row>
    <row r="31" spans="1:4" x14ac:dyDescent="0.35">
      <c r="A31" s="12" t="s">
        <v>918</v>
      </c>
    </row>
    <row r="32" spans="1:4" x14ac:dyDescent="0.35">
      <c r="A32" s="25" t="s">
        <v>866</v>
      </c>
      <c r="B32" s="25" t="s">
        <v>867</v>
      </c>
      <c r="C32" s="25" t="s">
        <v>868</v>
      </c>
      <c r="D32" s="25" t="s">
        <v>869</v>
      </c>
    </row>
    <row r="33" spans="1:4" x14ac:dyDescent="0.35">
      <c r="A33">
        <v>3.1</v>
      </c>
      <c r="B33" t="s">
        <v>919</v>
      </c>
      <c r="C33" t="s">
        <v>920</v>
      </c>
    </row>
    <row r="34" spans="1:4" x14ac:dyDescent="0.35">
      <c r="A34">
        <v>3.2</v>
      </c>
      <c r="B34" t="s">
        <v>921</v>
      </c>
      <c r="C34" t="s">
        <v>922</v>
      </c>
      <c r="D34" t="s">
        <v>923</v>
      </c>
    </row>
    <row r="35" spans="1:4" x14ac:dyDescent="0.35">
      <c r="A35">
        <v>3.3</v>
      </c>
      <c r="B35" t="s">
        <v>924</v>
      </c>
      <c r="C35" t="s">
        <v>925</v>
      </c>
      <c r="D35" t="s">
        <v>926</v>
      </c>
    </row>
    <row r="36" spans="1:4" x14ac:dyDescent="0.35">
      <c r="A36">
        <v>3.4</v>
      </c>
      <c r="B36" t="s">
        <v>927</v>
      </c>
      <c r="C36" t="s">
        <v>903</v>
      </c>
      <c r="D36" t="s">
        <v>928</v>
      </c>
    </row>
    <row r="37" spans="1:4" x14ac:dyDescent="0.35">
      <c r="A37">
        <v>3.5</v>
      </c>
      <c r="B37" t="s">
        <v>929</v>
      </c>
      <c r="C37" t="s">
        <v>930</v>
      </c>
      <c r="D37" t="s">
        <v>931</v>
      </c>
    </row>
    <row r="38" spans="1:4" x14ac:dyDescent="0.35">
      <c r="A38">
        <v>3.6</v>
      </c>
      <c r="B38" t="s">
        <v>932</v>
      </c>
      <c r="C38" t="s">
        <v>933</v>
      </c>
      <c r="D38" t="s">
        <v>934</v>
      </c>
    </row>
    <row r="40" spans="1:4" x14ac:dyDescent="0.35">
      <c r="A40" s="12" t="s">
        <v>935</v>
      </c>
    </row>
    <row r="41" spans="1:4" x14ac:dyDescent="0.35">
      <c r="A41" s="25" t="s">
        <v>866</v>
      </c>
      <c r="B41" s="25" t="s">
        <v>867</v>
      </c>
      <c r="C41" s="25" t="s">
        <v>868</v>
      </c>
      <c r="D41" s="25" t="s">
        <v>869</v>
      </c>
    </row>
    <row r="42" spans="1:4" x14ac:dyDescent="0.35">
      <c r="A42">
        <v>4.0999999999999996</v>
      </c>
      <c r="B42" t="s">
        <v>936</v>
      </c>
      <c r="C42" t="s">
        <v>937</v>
      </c>
      <c r="D42" t="s">
        <v>938</v>
      </c>
    </row>
    <row r="43" spans="1:4" x14ac:dyDescent="0.35">
      <c r="A43">
        <v>4.2</v>
      </c>
      <c r="B43" t="s">
        <v>939</v>
      </c>
      <c r="C43" t="s">
        <v>940</v>
      </c>
    </row>
    <row r="44" spans="1:4" x14ac:dyDescent="0.35">
      <c r="A44">
        <v>4.3</v>
      </c>
      <c r="B44" t="s">
        <v>941</v>
      </c>
      <c r="C44" t="s">
        <v>942</v>
      </c>
      <c r="D44" t="s">
        <v>943</v>
      </c>
    </row>
    <row r="45" spans="1:4" x14ac:dyDescent="0.35">
      <c r="A45">
        <v>4.4000000000000004</v>
      </c>
      <c r="B45" t="s">
        <v>944</v>
      </c>
      <c r="C45" t="s">
        <v>945</v>
      </c>
      <c r="D45" t="s">
        <v>946</v>
      </c>
    </row>
    <row r="46" spans="1:4" x14ac:dyDescent="0.35">
      <c r="A46">
        <v>4.5</v>
      </c>
      <c r="B46" t="s">
        <v>947</v>
      </c>
      <c r="C46" t="s">
        <v>948</v>
      </c>
      <c r="D46" t="s">
        <v>949</v>
      </c>
    </row>
    <row r="48" spans="1:4" x14ac:dyDescent="0.35">
      <c r="A48" s="12" t="s">
        <v>950</v>
      </c>
    </row>
    <row r="49" spans="1:4" x14ac:dyDescent="0.35">
      <c r="A49" s="25" t="s">
        <v>866</v>
      </c>
      <c r="B49" s="25" t="s">
        <v>867</v>
      </c>
      <c r="C49" s="25" t="s">
        <v>868</v>
      </c>
      <c r="D49" s="25" t="s">
        <v>869</v>
      </c>
    </row>
    <row r="50" spans="1:4" x14ac:dyDescent="0.35">
      <c r="A50">
        <v>5.0999999999999996</v>
      </c>
      <c r="B50" t="s">
        <v>951</v>
      </c>
      <c r="C50" t="s">
        <v>952</v>
      </c>
      <c r="D50" t="s">
        <v>953</v>
      </c>
    </row>
    <row r="51" spans="1:4" x14ac:dyDescent="0.35">
      <c r="A51">
        <v>5.2</v>
      </c>
      <c r="B51" t="s">
        <v>954</v>
      </c>
      <c r="C51" t="s">
        <v>955</v>
      </c>
      <c r="D51" t="s">
        <v>956</v>
      </c>
    </row>
    <row r="52" spans="1:4" x14ac:dyDescent="0.35">
      <c r="A52">
        <v>5.3</v>
      </c>
      <c r="B52" t="s">
        <v>957</v>
      </c>
      <c r="C52" t="s">
        <v>958</v>
      </c>
    </row>
    <row r="55" spans="1:4" ht="18.5" x14ac:dyDescent="0.45">
      <c r="A55" s="26" t="s">
        <v>959</v>
      </c>
    </row>
    <row r="57" spans="1:4" x14ac:dyDescent="0.35">
      <c r="A57" t="s">
        <v>960</v>
      </c>
    </row>
    <row r="58" spans="1:4" x14ac:dyDescent="0.35">
      <c r="A58" t="s">
        <v>961</v>
      </c>
    </row>
    <row r="59" spans="1:4" x14ac:dyDescent="0.35">
      <c r="A59" t="s">
        <v>962</v>
      </c>
    </row>
    <row r="60" spans="1:4" x14ac:dyDescent="0.35">
      <c r="A60" t="s">
        <v>963</v>
      </c>
    </row>
    <row r="61" spans="1:4" x14ac:dyDescent="0.35">
      <c r="A61" t="s">
        <v>964</v>
      </c>
    </row>
    <row r="63" spans="1:4" x14ac:dyDescent="0.35">
      <c r="A63" t="s">
        <v>965</v>
      </c>
    </row>
    <row r="64" spans="1:4" x14ac:dyDescent="0.35">
      <c r="A64" t="s">
        <v>966</v>
      </c>
    </row>
    <row r="65" spans="1:1" x14ac:dyDescent="0.35">
      <c r="A65" t="s">
        <v>967</v>
      </c>
    </row>
    <row r="66" spans="1:1" x14ac:dyDescent="0.35">
      <c r="A66" t="s">
        <v>968</v>
      </c>
    </row>
    <row r="67" spans="1:1" x14ac:dyDescent="0.35">
      <c r="A67" t="s">
        <v>969</v>
      </c>
    </row>
    <row r="69" spans="1:1" x14ac:dyDescent="0.35">
      <c r="A69" t="s">
        <v>970</v>
      </c>
    </row>
    <row r="70" spans="1:1" x14ac:dyDescent="0.35">
      <c r="A70" t="s">
        <v>971</v>
      </c>
    </row>
    <row r="71" spans="1:1" x14ac:dyDescent="0.35">
      <c r="A71" t="s">
        <v>972</v>
      </c>
    </row>
    <row r="72" spans="1:1" x14ac:dyDescent="0.35">
      <c r="A72" t="s">
        <v>973</v>
      </c>
    </row>
    <row r="73" spans="1:1" x14ac:dyDescent="0.35">
      <c r="A73" t="s">
        <v>974</v>
      </c>
    </row>
    <row r="75" spans="1:1" x14ac:dyDescent="0.35">
      <c r="A75" t="s">
        <v>975</v>
      </c>
    </row>
    <row r="76" spans="1:1" x14ac:dyDescent="0.35">
      <c r="A76" t="s">
        <v>976</v>
      </c>
    </row>
    <row r="77" spans="1:1" x14ac:dyDescent="0.35">
      <c r="A77" t="s">
        <v>977</v>
      </c>
    </row>
    <row r="78" spans="1:1" x14ac:dyDescent="0.35">
      <c r="A78" t="s">
        <v>978</v>
      </c>
    </row>
    <row r="81" spans="1:1" ht="18.5" x14ac:dyDescent="0.45">
      <c r="A81" s="27" t="s">
        <v>979</v>
      </c>
    </row>
    <row r="83" spans="1:1" x14ac:dyDescent="0.35">
      <c r="A83" t="s">
        <v>980</v>
      </c>
    </row>
    <row r="84" spans="1:1" x14ac:dyDescent="0.35">
      <c r="A84" t="s">
        <v>981</v>
      </c>
    </row>
    <row r="85" spans="1:1" x14ac:dyDescent="0.35">
      <c r="A85" t="s">
        <v>982</v>
      </c>
    </row>
    <row r="86" spans="1:1" x14ac:dyDescent="0.35">
      <c r="A86" t="s">
        <v>983</v>
      </c>
    </row>
    <row r="87" spans="1:1" x14ac:dyDescent="0.35">
      <c r="A87" t="s">
        <v>984</v>
      </c>
    </row>
    <row r="89" spans="1:1" x14ac:dyDescent="0.35">
      <c r="A89" t="s">
        <v>985</v>
      </c>
    </row>
    <row r="90" spans="1:1" x14ac:dyDescent="0.35">
      <c r="A90" t="s">
        <v>986</v>
      </c>
    </row>
    <row r="91" spans="1:1" x14ac:dyDescent="0.35">
      <c r="A91" t="s">
        <v>987</v>
      </c>
    </row>
    <row r="92" spans="1:1" x14ac:dyDescent="0.35">
      <c r="A92" t="s">
        <v>988</v>
      </c>
    </row>
    <row r="94" spans="1:1" x14ac:dyDescent="0.35">
      <c r="A94" t="s">
        <v>989</v>
      </c>
    </row>
    <row r="95" spans="1:1" x14ac:dyDescent="0.35">
      <c r="A95" t="s">
        <v>990</v>
      </c>
    </row>
    <row r="96" spans="1:1" x14ac:dyDescent="0.35">
      <c r="A96" t="s">
        <v>991</v>
      </c>
    </row>
    <row r="97" spans="1:1" x14ac:dyDescent="0.35">
      <c r="A97" t="s">
        <v>992</v>
      </c>
    </row>
    <row r="98" spans="1:1" x14ac:dyDescent="0.35">
      <c r="A98" t="s">
        <v>993</v>
      </c>
    </row>
    <row r="100" spans="1:1" x14ac:dyDescent="0.35">
      <c r="A100" t="s">
        <v>994</v>
      </c>
    </row>
    <row r="101" spans="1:1" x14ac:dyDescent="0.35">
      <c r="A101" t="s">
        <v>995</v>
      </c>
    </row>
    <row r="102" spans="1:1" x14ac:dyDescent="0.35">
      <c r="A102" t="s">
        <v>996</v>
      </c>
    </row>
    <row r="103" spans="1:1" x14ac:dyDescent="0.35">
      <c r="A103" t="s">
        <v>997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BF3A-3D51-4CA3-9AAB-2A3275D8C4CE}">
  <dimension ref="A1:G43"/>
  <sheetViews>
    <sheetView workbookViewId="0">
      <selection sqref="A1:G1"/>
    </sheetView>
  </sheetViews>
  <sheetFormatPr defaultRowHeight="14.5" x14ac:dyDescent="0.35"/>
  <cols>
    <col min="1" max="1" width="8.81640625" bestFit="1" customWidth="1"/>
    <col min="2" max="2" width="14" bestFit="1" customWidth="1"/>
    <col min="3" max="3" width="32.7265625" bestFit="1" customWidth="1"/>
    <col min="4" max="5" width="36.36328125" customWidth="1"/>
    <col min="7" max="7" width="14" bestFit="1" customWidth="1"/>
  </cols>
  <sheetData>
    <row r="1" spans="1:7" ht="18.5" x14ac:dyDescent="0.45">
      <c r="A1" s="19" t="s">
        <v>998</v>
      </c>
      <c r="B1" s="10"/>
      <c r="C1" s="10"/>
      <c r="D1" s="10"/>
      <c r="E1" s="10"/>
      <c r="F1" s="10"/>
      <c r="G1" s="10"/>
    </row>
    <row r="3" spans="1:7" x14ac:dyDescent="0.35">
      <c r="A3" s="12" t="s">
        <v>999</v>
      </c>
      <c r="B3" s="12" t="s">
        <v>124</v>
      </c>
      <c r="C3" s="12" t="s">
        <v>1000</v>
      </c>
      <c r="D3" s="12" t="s">
        <v>1001</v>
      </c>
      <c r="E3" s="12" t="s">
        <v>1002</v>
      </c>
      <c r="F3" s="12" t="s">
        <v>1003</v>
      </c>
      <c r="G3" s="12" t="s">
        <v>1004</v>
      </c>
    </row>
    <row r="4" spans="1:7" x14ac:dyDescent="0.35">
      <c r="A4" t="s">
        <v>1005</v>
      </c>
      <c r="B4" t="s">
        <v>1006</v>
      </c>
      <c r="C4" t="s">
        <v>1007</v>
      </c>
      <c r="D4" t="s">
        <v>1008</v>
      </c>
      <c r="E4" t="s">
        <v>1009</v>
      </c>
      <c r="F4" t="s">
        <v>1010</v>
      </c>
    </row>
    <row r="5" spans="1:7" x14ac:dyDescent="0.35">
      <c r="A5" t="s">
        <v>1011</v>
      </c>
      <c r="B5" t="s">
        <v>1006</v>
      </c>
      <c r="C5" t="s">
        <v>1012</v>
      </c>
      <c r="D5" t="s">
        <v>1013</v>
      </c>
      <c r="E5" t="s">
        <v>1014</v>
      </c>
      <c r="F5" t="s">
        <v>1010</v>
      </c>
    </row>
    <row r="6" spans="1:7" x14ac:dyDescent="0.35">
      <c r="A6" t="s">
        <v>1015</v>
      </c>
      <c r="B6" t="s">
        <v>1016</v>
      </c>
      <c r="C6" t="s">
        <v>1017</v>
      </c>
      <c r="D6" t="s">
        <v>1018</v>
      </c>
      <c r="E6" t="s">
        <v>1019</v>
      </c>
      <c r="F6" t="s">
        <v>1010</v>
      </c>
    </row>
    <row r="7" spans="1:7" x14ac:dyDescent="0.35">
      <c r="A7" t="s">
        <v>1020</v>
      </c>
      <c r="B7" t="s">
        <v>1016</v>
      </c>
      <c r="C7" t="s">
        <v>1021</v>
      </c>
      <c r="D7" t="s">
        <v>1022</v>
      </c>
      <c r="E7" t="s">
        <v>1023</v>
      </c>
      <c r="F7" t="s">
        <v>1010</v>
      </c>
    </row>
    <row r="8" spans="1:7" x14ac:dyDescent="0.35">
      <c r="A8" t="s">
        <v>1024</v>
      </c>
      <c r="B8" t="s">
        <v>1025</v>
      </c>
      <c r="C8" t="s">
        <v>1026</v>
      </c>
      <c r="D8" t="s">
        <v>1027</v>
      </c>
      <c r="E8" t="s">
        <v>1028</v>
      </c>
      <c r="F8" t="s">
        <v>1010</v>
      </c>
    </row>
    <row r="9" spans="1:7" x14ac:dyDescent="0.35">
      <c r="A9" t="s">
        <v>1029</v>
      </c>
      <c r="B9" t="s">
        <v>1025</v>
      </c>
      <c r="C9" t="s">
        <v>1030</v>
      </c>
      <c r="D9" t="s">
        <v>1031</v>
      </c>
      <c r="E9" t="s">
        <v>1032</v>
      </c>
      <c r="F9" t="s">
        <v>1010</v>
      </c>
    </row>
    <row r="10" spans="1:7" x14ac:dyDescent="0.35">
      <c r="A10" t="s">
        <v>1033</v>
      </c>
      <c r="B10" t="s">
        <v>1034</v>
      </c>
      <c r="C10" t="s">
        <v>1035</v>
      </c>
      <c r="D10" t="s">
        <v>1036</v>
      </c>
      <c r="E10" t="s">
        <v>1037</v>
      </c>
      <c r="F10" t="s">
        <v>1010</v>
      </c>
    </row>
    <row r="11" spans="1:7" x14ac:dyDescent="0.35">
      <c r="A11" t="s">
        <v>1038</v>
      </c>
      <c r="B11" t="s">
        <v>1039</v>
      </c>
      <c r="C11" t="s">
        <v>1040</v>
      </c>
      <c r="D11" t="s">
        <v>1041</v>
      </c>
      <c r="E11" t="s">
        <v>1042</v>
      </c>
      <c r="F11" t="s">
        <v>1010</v>
      </c>
    </row>
    <row r="12" spans="1:7" x14ac:dyDescent="0.35">
      <c r="A12" t="s">
        <v>1043</v>
      </c>
      <c r="B12" t="s">
        <v>1039</v>
      </c>
      <c r="C12" t="s">
        <v>1044</v>
      </c>
      <c r="D12" t="s">
        <v>1045</v>
      </c>
      <c r="E12" t="s">
        <v>1046</v>
      </c>
      <c r="F12" t="s">
        <v>1010</v>
      </c>
    </row>
    <row r="13" spans="1:7" x14ac:dyDescent="0.35">
      <c r="A13" t="s">
        <v>1047</v>
      </c>
      <c r="B13" t="s">
        <v>1039</v>
      </c>
      <c r="C13" t="s">
        <v>1048</v>
      </c>
      <c r="D13" t="s">
        <v>1049</v>
      </c>
      <c r="E13" t="s">
        <v>1050</v>
      </c>
      <c r="F13" t="s">
        <v>1010</v>
      </c>
    </row>
    <row r="14" spans="1:7" x14ac:dyDescent="0.35">
      <c r="A14" t="s">
        <v>1051</v>
      </c>
      <c r="B14" t="s">
        <v>1052</v>
      </c>
      <c r="C14" t="s">
        <v>1053</v>
      </c>
      <c r="D14" t="s">
        <v>1054</v>
      </c>
      <c r="E14" t="s">
        <v>1055</v>
      </c>
      <c r="F14" t="s">
        <v>1010</v>
      </c>
    </row>
    <row r="15" spans="1:7" x14ac:dyDescent="0.35">
      <c r="A15" t="s">
        <v>1056</v>
      </c>
      <c r="B15" t="s">
        <v>1052</v>
      </c>
      <c r="C15" t="s">
        <v>1057</v>
      </c>
      <c r="D15" t="s">
        <v>1058</v>
      </c>
      <c r="E15" t="s">
        <v>1059</v>
      </c>
      <c r="F15" t="s">
        <v>1010</v>
      </c>
    </row>
    <row r="16" spans="1:7" x14ac:dyDescent="0.35">
      <c r="A16" t="s">
        <v>1060</v>
      </c>
      <c r="B16" t="s">
        <v>1052</v>
      </c>
      <c r="C16" t="s">
        <v>1061</v>
      </c>
      <c r="D16" t="s">
        <v>1062</v>
      </c>
      <c r="E16" t="s">
        <v>1063</v>
      </c>
      <c r="F16" t="s">
        <v>1010</v>
      </c>
    </row>
    <row r="17" spans="1:6" x14ac:dyDescent="0.35">
      <c r="A17" t="s">
        <v>1064</v>
      </c>
      <c r="B17" t="s">
        <v>1065</v>
      </c>
      <c r="C17" t="s">
        <v>1066</v>
      </c>
      <c r="D17" t="s">
        <v>1067</v>
      </c>
      <c r="E17" t="s">
        <v>1068</v>
      </c>
      <c r="F17" t="s">
        <v>1010</v>
      </c>
    </row>
    <row r="18" spans="1:6" x14ac:dyDescent="0.35">
      <c r="A18" t="s">
        <v>1069</v>
      </c>
      <c r="B18" t="s">
        <v>1065</v>
      </c>
      <c r="C18" t="s">
        <v>1070</v>
      </c>
      <c r="D18" t="s">
        <v>1071</v>
      </c>
      <c r="E18" t="s">
        <v>1072</v>
      </c>
      <c r="F18" t="s">
        <v>1010</v>
      </c>
    </row>
    <row r="19" spans="1:6" x14ac:dyDescent="0.35">
      <c r="A19" t="s">
        <v>1073</v>
      </c>
      <c r="B19" t="s">
        <v>1074</v>
      </c>
      <c r="C19" t="s">
        <v>1075</v>
      </c>
      <c r="D19" t="s">
        <v>1076</v>
      </c>
      <c r="E19" t="s">
        <v>1077</v>
      </c>
      <c r="F19" t="s">
        <v>1010</v>
      </c>
    </row>
    <row r="20" spans="1:6" x14ac:dyDescent="0.35">
      <c r="A20" t="s">
        <v>1078</v>
      </c>
      <c r="B20" t="s">
        <v>1074</v>
      </c>
      <c r="C20" t="s">
        <v>659</v>
      </c>
      <c r="D20" t="s">
        <v>1079</v>
      </c>
      <c r="E20" t="s">
        <v>1080</v>
      </c>
      <c r="F20" t="s">
        <v>1010</v>
      </c>
    </row>
    <row r="21" spans="1:6" x14ac:dyDescent="0.35">
      <c r="A21" t="s">
        <v>1081</v>
      </c>
      <c r="B21" t="s">
        <v>1074</v>
      </c>
      <c r="C21" t="s">
        <v>1082</v>
      </c>
      <c r="D21" t="s">
        <v>1083</v>
      </c>
      <c r="E21" t="s">
        <v>1084</v>
      </c>
      <c r="F21" t="s">
        <v>1010</v>
      </c>
    </row>
    <row r="22" spans="1:6" x14ac:dyDescent="0.35">
      <c r="A22" t="s">
        <v>1085</v>
      </c>
      <c r="B22" t="s">
        <v>356</v>
      </c>
      <c r="C22" t="s">
        <v>1086</v>
      </c>
      <c r="D22" t="s">
        <v>1087</v>
      </c>
      <c r="E22" t="s">
        <v>1088</v>
      </c>
      <c r="F22" t="s">
        <v>1010</v>
      </c>
    </row>
    <row r="23" spans="1:6" x14ac:dyDescent="0.35">
      <c r="A23" t="s">
        <v>1089</v>
      </c>
      <c r="B23" t="s">
        <v>356</v>
      </c>
      <c r="C23" t="s">
        <v>1090</v>
      </c>
      <c r="D23" t="s">
        <v>1091</v>
      </c>
      <c r="E23" t="s">
        <v>1092</v>
      </c>
      <c r="F23" t="s">
        <v>1010</v>
      </c>
    </row>
    <row r="24" spans="1:6" x14ac:dyDescent="0.35">
      <c r="A24" t="s">
        <v>1093</v>
      </c>
      <c r="B24" t="s">
        <v>356</v>
      </c>
      <c r="C24" t="s">
        <v>1094</v>
      </c>
      <c r="D24" t="s">
        <v>1095</v>
      </c>
      <c r="E24" t="s">
        <v>1096</v>
      </c>
      <c r="F24" t="s">
        <v>1010</v>
      </c>
    </row>
    <row r="25" spans="1:6" x14ac:dyDescent="0.35">
      <c r="A25" t="s">
        <v>1097</v>
      </c>
      <c r="B25" t="s">
        <v>1098</v>
      </c>
      <c r="C25" t="s">
        <v>1099</v>
      </c>
      <c r="D25" t="s">
        <v>1100</v>
      </c>
      <c r="E25" t="s">
        <v>1101</v>
      </c>
      <c r="F25" t="s">
        <v>1010</v>
      </c>
    </row>
    <row r="26" spans="1:6" x14ac:dyDescent="0.35">
      <c r="A26" t="s">
        <v>1102</v>
      </c>
      <c r="B26" t="s">
        <v>1098</v>
      </c>
      <c r="C26" t="s">
        <v>1103</v>
      </c>
      <c r="D26" t="s">
        <v>1104</v>
      </c>
      <c r="E26" t="s">
        <v>1105</v>
      </c>
      <c r="F26" t="s">
        <v>1010</v>
      </c>
    </row>
    <row r="27" spans="1:6" x14ac:dyDescent="0.35">
      <c r="A27" t="s">
        <v>1106</v>
      </c>
      <c r="B27" t="s">
        <v>1107</v>
      </c>
      <c r="C27" t="s">
        <v>1108</v>
      </c>
      <c r="D27" t="s">
        <v>1109</v>
      </c>
      <c r="E27" t="s">
        <v>1110</v>
      </c>
      <c r="F27" t="s">
        <v>1010</v>
      </c>
    </row>
    <row r="28" spans="1:6" x14ac:dyDescent="0.35">
      <c r="A28" t="s">
        <v>1111</v>
      </c>
      <c r="B28" t="s">
        <v>1107</v>
      </c>
      <c r="C28" t="s">
        <v>1112</v>
      </c>
      <c r="D28" t="s">
        <v>1113</v>
      </c>
      <c r="E28" t="s">
        <v>1114</v>
      </c>
      <c r="F28" t="s">
        <v>1010</v>
      </c>
    </row>
    <row r="29" spans="1:6" x14ac:dyDescent="0.35">
      <c r="A29" t="s">
        <v>1115</v>
      </c>
      <c r="B29" t="s">
        <v>1116</v>
      </c>
      <c r="C29" t="s">
        <v>1117</v>
      </c>
      <c r="D29" t="s">
        <v>1118</v>
      </c>
      <c r="E29" t="s">
        <v>1119</v>
      </c>
      <c r="F29" t="s">
        <v>1010</v>
      </c>
    </row>
    <row r="30" spans="1:6" x14ac:dyDescent="0.35">
      <c r="A30" t="s">
        <v>1120</v>
      </c>
      <c r="B30" t="s">
        <v>1116</v>
      </c>
      <c r="C30" t="s">
        <v>1121</v>
      </c>
      <c r="D30" t="s">
        <v>1122</v>
      </c>
      <c r="E30" t="s">
        <v>1123</v>
      </c>
      <c r="F30" t="s">
        <v>1010</v>
      </c>
    </row>
    <row r="31" spans="1:6" x14ac:dyDescent="0.35">
      <c r="A31" t="s">
        <v>1124</v>
      </c>
      <c r="B31" t="s">
        <v>1125</v>
      </c>
      <c r="C31" t="s">
        <v>1126</v>
      </c>
      <c r="D31" t="s">
        <v>1127</v>
      </c>
      <c r="E31" t="s">
        <v>1128</v>
      </c>
      <c r="F31" t="s">
        <v>1010</v>
      </c>
    </row>
    <row r="32" spans="1:6" x14ac:dyDescent="0.35">
      <c r="A32" t="s">
        <v>1129</v>
      </c>
      <c r="B32" t="s">
        <v>1125</v>
      </c>
      <c r="C32" t="s">
        <v>1130</v>
      </c>
      <c r="D32" t="s">
        <v>1131</v>
      </c>
      <c r="E32" t="s">
        <v>1132</v>
      </c>
      <c r="F32" t="s">
        <v>1010</v>
      </c>
    </row>
    <row r="33" spans="1:6" x14ac:dyDescent="0.35">
      <c r="A33" t="s">
        <v>1133</v>
      </c>
      <c r="B33" t="s">
        <v>438</v>
      </c>
      <c r="C33" t="s">
        <v>1134</v>
      </c>
      <c r="D33" t="s">
        <v>1135</v>
      </c>
      <c r="E33" t="s">
        <v>1136</v>
      </c>
      <c r="F33" t="s">
        <v>1010</v>
      </c>
    </row>
    <row r="34" spans="1:6" x14ac:dyDescent="0.35">
      <c r="A34" t="s">
        <v>1137</v>
      </c>
      <c r="B34" t="s">
        <v>438</v>
      </c>
      <c r="C34" t="s">
        <v>1138</v>
      </c>
      <c r="D34" t="s">
        <v>1139</v>
      </c>
      <c r="E34" t="s">
        <v>1140</v>
      </c>
      <c r="F34" t="s">
        <v>1010</v>
      </c>
    </row>
    <row r="35" spans="1:6" x14ac:dyDescent="0.35">
      <c r="A35" t="s">
        <v>1141</v>
      </c>
      <c r="B35" t="s">
        <v>1142</v>
      </c>
      <c r="C35" t="s">
        <v>1143</v>
      </c>
      <c r="D35" t="s">
        <v>1144</v>
      </c>
      <c r="E35" t="s">
        <v>1145</v>
      </c>
      <c r="F35" t="s">
        <v>1010</v>
      </c>
    </row>
    <row r="36" spans="1:6" x14ac:dyDescent="0.35">
      <c r="A36" t="s">
        <v>1146</v>
      </c>
      <c r="B36" t="s">
        <v>1142</v>
      </c>
      <c r="C36" t="s">
        <v>1147</v>
      </c>
      <c r="D36" t="s">
        <v>1148</v>
      </c>
      <c r="E36" t="s">
        <v>1149</v>
      </c>
      <c r="F36" t="s">
        <v>1010</v>
      </c>
    </row>
    <row r="37" spans="1:6" x14ac:dyDescent="0.35">
      <c r="A37" t="s">
        <v>1150</v>
      </c>
      <c r="B37" t="s">
        <v>1151</v>
      </c>
      <c r="C37" t="s">
        <v>1143</v>
      </c>
      <c r="D37" t="s">
        <v>1152</v>
      </c>
      <c r="E37" t="s">
        <v>1153</v>
      </c>
      <c r="F37" t="s">
        <v>1010</v>
      </c>
    </row>
    <row r="38" spans="1:6" x14ac:dyDescent="0.35">
      <c r="A38" t="s">
        <v>1154</v>
      </c>
      <c r="B38" t="s">
        <v>1151</v>
      </c>
      <c r="C38" t="s">
        <v>1155</v>
      </c>
      <c r="D38" t="s">
        <v>1156</v>
      </c>
      <c r="E38" t="s">
        <v>1157</v>
      </c>
      <c r="F38" t="s">
        <v>1010</v>
      </c>
    </row>
    <row r="39" spans="1:6" x14ac:dyDescent="0.35">
      <c r="A39" t="s">
        <v>1158</v>
      </c>
      <c r="B39" t="s">
        <v>1159</v>
      </c>
      <c r="C39" t="s">
        <v>1160</v>
      </c>
      <c r="D39" t="s">
        <v>1161</v>
      </c>
      <c r="E39" t="s">
        <v>1162</v>
      </c>
      <c r="F39" t="s">
        <v>1010</v>
      </c>
    </row>
    <row r="40" spans="1:6" x14ac:dyDescent="0.35">
      <c r="A40" t="s">
        <v>1163</v>
      </c>
      <c r="B40" t="s">
        <v>1159</v>
      </c>
      <c r="C40" t="s">
        <v>1164</v>
      </c>
      <c r="D40" t="s">
        <v>1165</v>
      </c>
      <c r="E40" t="s">
        <v>1166</v>
      </c>
      <c r="F40" t="s">
        <v>1010</v>
      </c>
    </row>
    <row r="41" spans="1:6" x14ac:dyDescent="0.35">
      <c r="A41" t="s">
        <v>1167</v>
      </c>
      <c r="B41" t="s">
        <v>1168</v>
      </c>
      <c r="C41" t="s">
        <v>1169</v>
      </c>
      <c r="D41" t="s">
        <v>1170</v>
      </c>
      <c r="E41" t="s">
        <v>1171</v>
      </c>
      <c r="F41" t="s">
        <v>1010</v>
      </c>
    </row>
    <row r="42" spans="1:6" x14ac:dyDescent="0.35">
      <c r="A42" t="s">
        <v>1172</v>
      </c>
      <c r="B42" t="s">
        <v>1173</v>
      </c>
      <c r="C42" t="s">
        <v>1174</v>
      </c>
      <c r="D42" t="s">
        <v>1175</v>
      </c>
      <c r="E42" t="s">
        <v>1176</v>
      </c>
      <c r="F42" t="s">
        <v>1010</v>
      </c>
    </row>
    <row r="43" spans="1:6" x14ac:dyDescent="0.35">
      <c r="A43" t="s">
        <v>1177</v>
      </c>
      <c r="B43" t="s">
        <v>1173</v>
      </c>
      <c r="C43" t="s">
        <v>1178</v>
      </c>
      <c r="D43" t="s">
        <v>1179</v>
      </c>
      <c r="E43" t="s">
        <v>1180</v>
      </c>
      <c r="F43" t="s">
        <v>1010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64C0-D359-46B9-B30C-66F28D1E8568}">
  <dimension ref="A1:E52"/>
  <sheetViews>
    <sheetView workbookViewId="0">
      <selection sqref="A1:E1"/>
    </sheetView>
  </sheetViews>
  <sheetFormatPr defaultRowHeight="14.5" x14ac:dyDescent="0.35"/>
  <cols>
    <col min="1" max="1" width="18.1796875" customWidth="1"/>
    <col min="2" max="2" width="32.7265625" customWidth="1"/>
    <col min="3" max="3" width="50.90625" customWidth="1"/>
    <col min="4" max="4" width="14.54296875" customWidth="1"/>
    <col min="5" max="5" width="18.1796875" customWidth="1"/>
  </cols>
  <sheetData>
    <row r="1" spans="1:5" ht="18.5" x14ac:dyDescent="0.45">
      <c r="A1" s="19" t="s">
        <v>1181</v>
      </c>
      <c r="B1" s="10"/>
      <c r="C1" s="10"/>
      <c r="D1" s="10"/>
      <c r="E1" s="10"/>
    </row>
    <row r="3" spans="1:5" x14ac:dyDescent="0.35">
      <c r="A3" s="12" t="s">
        <v>1182</v>
      </c>
      <c r="B3" s="12" t="s">
        <v>1183</v>
      </c>
      <c r="C3" s="12" t="s">
        <v>550</v>
      </c>
      <c r="D3" s="12" t="s">
        <v>1003</v>
      </c>
      <c r="E3" s="12" t="s">
        <v>1184</v>
      </c>
    </row>
    <row r="4" spans="1:5" x14ac:dyDescent="0.35">
      <c r="A4" s="25" t="s">
        <v>1185</v>
      </c>
      <c r="B4" s="1" t="s">
        <v>1186</v>
      </c>
      <c r="C4" s="1" t="s">
        <v>1187</v>
      </c>
      <c r="D4" s="1" t="s">
        <v>1010</v>
      </c>
      <c r="E4" s="1"/>
    </row>
    <row r="5" spans="1:5" x14ac:dyDescent="0.35">
      <c r="A5" t="s">
        <v>1185</v>
      </c>
      <c r="B5" t="s">
        <v>1188</v>
      </c>
      <c r="C5" t="s">
        <v>1189</v>
      </c>
      <c r="D5" t="s">
        <v>1010</v>
      </c>
    </row>
    <row r="6" spans="1:5" x14ac:dyDescent="0.35">
      <c r="A6" t="s">
        <v>1185</v>
      </c>
      <c r="B6" t="s">
        <v>1190</v>
      </c>
      <c r="C6" t="s">
        <v>1191</v>
      </c>
      <c r="D6" t="s">
        <v>1010</v>
      </c>
    </row>
    <row r="7" spans="1:5" x14ac:dyDescent="0.35">
      <c r="A7" t="s">
        <v>1185</v>
      </c>
      <c r="B7" t="s">
        <v>1192</v>
      </c>
      <c r="C7" t="s">
        <v>1193</v>
      </c>
      <c r="D7" t="s">
        <v>1010</v>
      </c>
    </row>
    <row r="8" spans="1:5" x14ac:dyDescent="0.35">
      <c r="A8" t="s">
        <v>1185</v>
      </c>
      <c r="B8" t="s">
        <v>1194</v>
      </c>
      <c r="C8" t="s">
        <v>1195</v>
      </c>
      <c r="D8" t="s">
        <v>1010</v>
      </c>
    </row>
    <row r="10" spans="1:5" x14ac:dyDescent="0.35">
      <c r="A10" s="25" t="s">
        <v>1196</v>
      </c>
      <c r="B10" s="1" t="s">
        <v>1197</v>
      </c>
      <c r="C10" s="1" t="s">
        <v>1198</v>
      </c>
      <c r="D10" s="1" t="s">
        <v>1010</v>
      </c>
      <c r="E10" s="1"/>
    </row>
    <row r="11" spans="1:5" x14ac:dyDescent="0.35">
      <c r="A11" t="s">
        <v>1196</v>
      </c>
      <c r="B11" t="s">
        <v>1199</v>
      </c>
      <c r="C11" t="s">
        <v>1200</v>
      </c>
      <c r="D11" t="s">
        <v>1010</v>
      </c>
    </row>
    <row r="12" spans="1:5" x14ac:dyDescent="0.35">
      <c r="A12" t="s">
        <v>1196</v>
      </c>
      <c r="B12" t="s">
        <v>1201</v>
      </c>
      <c r="C12" t="s">
        <v>1202</v>
      </c>
      <c r="D12" t="s">
        <v>1010</v>
      </c>
    </row>
    <row r="13" spans="1:5" x14ac:dyDescent="0.35">
      <c r="A13" t="s">
        <v>1196</v>
      </c>
      <c r="B13" t="s">
        <v>1203</v>
      </c>
      <c r="C13" t="s">
        <v>1204</v>
      </c>
      <c r="D13" t="s">
        <v>1010</v>
      </c>
    </row>
    <row r="14" spans="1:5" x14ac:dyDescent="0.35">
      <c r="A14" t="s">
        <v>1196</v>
      </c>
      <c r="B14" t="s">
        <v>1205</v>
      </c>
      <c r="C14" t="s">
        <v>1206</v>
      </c>
      <c r="D14" t="s">
        <v>1010</v>
      </c>
    </row>
    <row r="15" spans="1:5" x14ac:dyDescent="0.35">
      <c r="A15" t="s">
        <v>1196</v>
      </c>
      <c r="B15" t="s">
        <v>1207</v>
      </c>
      <c r="C15" t="s">
        <v>1208</v>
      </c>
      <c r="D15" t="s">
        <v>1010</v>
      </c>
    </row>
    <row r="16" spans="1:5" x14ac:dyDescent="0.35">
      <c r="A16" t="s">
        <v>1196</v>
      </c>
      <c r="B16" t="s">
        <v>1209</v>
      </c>
      <c r="C16" t="s">
        <v>1210</v>
      </c>
      <c r="D16" t="s">
        <v>1010</v>
      </c>
    </row>
    <row r="17" spans="1:5" x14ac:dyDescent="0.35">
      <c r="A17" t="s">
        <v>1196</v>
      </c>
      <c r="B17" t="s">
        <v>1211</v>
      </c>
      <c r="C17" t="s">
        <v>1212</v>
      </c>
      <c r="D17" t="s">
        <v>1010</v>
      </c>
    </row>
    <row r="19" spans="1:5" x14ac:dyDescent="0.35">
      <c r="A19" s="25" t="s">
        <v>1213</v>
      </c>
      <c r="B19" s="1" t="s">
        <v>1214</v>
      </c>
      <c r="C19" s="1" t="s">
        <v>1215</v>
      </c>
      <c r="D19" s="1" t="s">
        <v>1010</v>
      </c>
      <c r="E19" s="1"/>
    </row>
    <row r="20" spans="1:5" x14ac:dyDescent="0.35">
      <c r="A20" t="s">
        <v>1213</v>
      </c>
      <c r="B20" t="s">
        <v>1216</v>
      </c>
      <c r="C20" t="s">
        <v>1217</v>
      </c>
      <c r="D20" t="s">
        <v>1010</v>
      </c>
    </row>
    <row r="21" spans="1:5" x14ac:dyDescent="0.35">
      <c r="A21" t="s">
        <v>1213</v>
      </c>
      <c r="B21" t="s">
        <v>1218</v>
      </c>
      <c r="C21" t="s">
        <v>1219</v>
      </c>
      <c r="D21" t="s">
        <v>1010</v>
      </c>
    </row>
    <row r="22" spans="1:5" x14ac:dyDescent="0.35">
      <c r="A22" t="s">
        <v>1213</v>
      </c>
      <c r="B22" t="s">
        <v>1220</v>
      </c>
      <c r="C22" t="s">
        <v>1221</v>
      </c>
      <c r="D22" t="s">
        <v>1010</v>
      </c>
    </row>
    <row r="23" spans="1:5" x14ac:dyDescent="0.35">
      <c r="A23" t="s">
        <v>1213</v>
      </c>
      <c r="B23" t="s">
        <v>1222</v>
      </c>
      <c r="C23" t="s">
        <v>1223</v>
      </c>
      <c r="D23" t="s">
        <v>1010</v>
      </c>
    </row>
    <row r="25" spans="1:5" x14ac:dyDescent="0.35">
      <c r="A25" s="25" t="s">
        <v>1224</v>
      </c>
      <c r="B25" s="1" t="s">
        <v>1225</v>
      </c>
      <c r="C25" s="1" t="s">
        <v>1226</v>
      </c>
      <c r="D25" s="1" t="s">
        <v>1010</v>
      </c>
      <c r="E25" s="1"/>
    </row>
    <row r="26" spans="1:5" x14ac:dyDescent="0.35">
      <c r="A26" t="s">
        <v>1224</v>
      </c>
      <c r="B26" t="s">
        <v>1227</v>
      </c>
      <c r="C26" t="s">
        <v>1228</v>
      </c>
      <c r="D26" t="s">
        <v>1010</v>
      </c>
    </row>
    <row r="27" spans="1:5" x14ac:dyDescent="0.35">
      <c r="A27" t="s">
        <v>1224</v>
      </c>
      <c r="B27" t="s">
        <v>1229</v>
      </c>
      <c r="C27" t="s">
        <v>1230</v>
      </c>
      <c r="D27" t="s">
        <v>1010</v>
      </c>
    </row>
    <row r="28" spans="1:5" x14ac:dyDescent="0.35">
      <c r="A28" t="s">
        <v>1224</v>
      </c>
      <c r="B28" t="s">
        <v>1231</v>
      </c>
      <c r="C28" t="s">
        <v>1232</v>
      </c>
      <c r="D28" t="s">
        <v>1010</v>
      </c>
    </row>
    <row r="30" spans="1:5" x14ac:dyDescent="0.35">
      <c r="A30" s="25" t="s">
        <v>1233</v>
      </c>
      <c r="B30" s="1" t="s">
        <v>1234</v>
      </c>
      <c r="C30" s="1" t="s">
        <v>1235</v>
      </c>
      <c r="D30" s="1" t="s">
        <v>1010</v>
      </c>
      <c r="E30" s="1"/>
    </row>
    <row r="31" spans="1:5" x14ac:dyDescent="0.35">
      <c r="A31" t="s">
        <v>1233</v>
      </c>
      <c r="B31" t="s">
        <v>1236</v>
      </c>
      <c r="C31" t="s">
        <v>1237</v>
      </c>
      <c r="D31" t="s">
        <v>1010</v>
      </c>
    </row>
    <row r="32" spans="1:5" x14ac:dyDescent="0.35">
      <c r="A32" t="s">
        <v>1233</v>
      </c>
      <c r="B32" t="s">
        <v>1238</v>
      </c>
      <c r="C32" t="s">
        <v>1239</v>
      </c>
      <c r="D32" t="s">
        <v>1010</v>
      </c>
    </row>
    <row r="33" spans="1:5" x14ac:dyDescent="0.35">
      <c r="A33" t="s">
        <v>1233</v>
      </c>
      <c r="B33" t="s">
        <v>1240</v>
      </c>
      <c r="C33" t="s">
        <v>1241</v>
      </c>
      <c r="D33" t="s">
        <v>1010</v>
      </c>
    </row>
    <row r="34" spans="1:5" x14ac:dyDescent="0.35">
      <c r="A34" t="s">
        <v>1233</v>
      </c>
      <c r="B34" t="s">
        <v>1242</v>
      </c>
      <c r="C34" t="s">
        <v>1243</v>
      </c>
      <c r="D34" t="s">
        <v>1010</v>
      </c>
    </row>
    <row r="35" spans="1:5" x14ac:dyDescent="0.35">
      <c r="A35" t="s">
        <v>1233</v>
      </c>
      <c r="B35" t="s">
        <v>1244</v>
      </c>
      <c r="C35" t="s">
        <v>1245</v>
      </c>
      <c r="D35" t="s">
        <v>1010</v>
      </c>
    </row>
    <row r="36" spans="1:5" x14ac:dyDescent="0.35">
      <c r="A36" t="s">
        <v>1233</v>
      </c>
      <c r="B36" t="s">
        <v>1246</v>
      </c>
      <c r="C36" t="s">
        <v>1247</v>
      </c>
      <c r="D36" t="s">
        <v>1010</v>
      </c>
    </row>
    <row r="38" spans="1:5" x14ac:dyDescent="0.35">
      <c r="A38" s="25" t="s">
        <v>1248</v>
      </c>
      <c r="B38" s="1" t="s">
        <v>1249</v>
      </c>
      <c r="C38" s="1" t="s">
        <v>1250</v>
      </c>
      <c r="D38" s="1" t="s">
        <v>1010</v>
      </c>
      <c r="E38" s="1"/>
    </row>
    <row r="39" spans="1:5" x14ac:dyDescent="0.35">
      <c r="A39" t="s">
        <v>1248</v>
      </c>
      <c r="B39" t="s">
        <v>1251</v>
      </c>
      <c r="C39" t="s">
        <v>1252</v>
      </c>
      <c r="D39" t="s">
        <v>1010</v>
      </c>
    </row>
    <row r="40" spans="1:5" x14ac:dyDescent="0.35">
      <c r="A40" t="s">
        <v>1248</v>
      </c>
      <c r="B40" t="s">
        <v>1253</v>
      </c>
      <c r="C40" t="s">
        <v>1254</v>
      </c>
      <c r="D40" t="s">
        <v>1010</v>
      </c>
    </row>
    <row r="41" spans="1:5" x14ac:dyDescent="0.35">
      <c r="A41" t="s">
        <v>1248</v>
      </c>
      <c r="B41" t="s">
        <v>1255</v>
      </c>
      <c r="C41" t="s">
        <v>1256</v>
      </c>
      <c r="D41" t="s">
        <v>1010</v>
      </c>
    </row>
    <row r="43" spans="1:5" x14ac:dyDescent="0.35">
      <c r="A43" s="25" t="s">
        <v>1257</v>
      </c>
      <c r="B43" s="1" t="s">
        <v>1258</v>
      </c>
      <c r="C43" s="1" t="s">
        <v>1259</v>
      </c>
      <c r="D43" s="1" t="s">
        <v>1010</v>
      </c>
      <c r="E43" s="1"/>
    </row>
    <row r="44" spans="1:5" x14ac:dyDescent="0.35">
      <c r="A44" t="s">
        <v>1257</v>
      </c>
      <c r="B44" t="s">
        <v>1260</v>
      </c>
      <c r="C44" t="s">
        <v>1261</v>
      </c>
      <c r="D44" t="s">
        <v>1010</v>
      </c>
    </row>
    <row r="45" spans="1:5" x14ac:dyDescent="0.35">
      <c r="A45" t="s">
        <v>1257</v>
      </c>
      <c r="B45" t="s">
        <v>1262</v>
      </c>
      <c r="C45" t="s">
        <v>1263</v>
      </c>
      <c r="D45" t="s">
        <v>1010</v>
      </c>
    </row>
    <row r="46" spans="1:5" x14ac:dyDescent="0.35">
      <c r="A46" t="s">
        <v>1257</v>
      </c>
      <c r="B46" t="s">
        <v>1264</v>
      </c>
      <c r="C46" t="s">
        <v>1265</v>
      </c>
      <c r="D46" t="s">
        <v>1010</v>
      </c>
    </row>
    <row r="47" spans="1:5" x14ac:dyDescent="0.35">
      <c r="A47" t="s">
        <v>1257</v>
      </c>
      <c r="B47" t="s">
        <v>1266</v>
      </c>
      <c r="C47" t="s">
        <v>1267</v>
      </c>
      <c r="D47" t="s">
        <v>1010</v>
      </c>
    </row>
    <row r="49" spans="1:5" x14ac:dyDescent="0.35">
      <c r="A49" s="25" t="s">
        <v>1268</v>
      </c>
      <c r="B49" s="1" t="s">
        <v>1269</v>
      </c>
      <c r="C49" s="1" t="s">
        <v>1270</v>
      </c>
      <c r="D49" s="1" t="s">
        <v>1010</v>
      </c>
      <c r="E49" s="1"/>
    </row>
    <row r="50" spans="1:5" x14ac:dyDescent="0.35">
      <c r="A50" t="s">
        <v>1268</v>
      </c>
      <c r="B50" t="s">
        <v>1271</v>
      </c>
      <c r="C50" t="s">
        <v>1272</v>
      </c>
      <c r="D50" t="s">
        <v>1010</v>
      </c>
    </row>
    <row r="51" spans="1:5" x14ac:dyDescent="0.35">
      <c r="A51" t="s">
        <v>1268</v>
      </c>
      <c r="B51" t="s">
        <v>1273</v>
      </c>
      <c r="C51" t="s">
        <v>1274</v>
      </c>
      <c r="D51" t="s">
        <v>1010</v>
      </c>
    </row>
    <row r="52" spans="1:5" x14ac:dyDescent="0.35">
      <c r="A52" t="s">
        <v>1268</v>
      </c>
      <c r="B52" t="s">
        <v>1275</v>
      </c>
      <c r="C52" t="s">
        <v>1276</v>
      </c>
      <c r="D52" t="s">
        <v>1010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C6B2-D0B2-4142-AC26-394774D30E38}">
  <dimension ref="A1:D29"/>
  <sheetViews>
    <sheetView workbookViewId="0">
      <selection sqref="A1:D1"/>
    </sheetView>
  </sheetViews>
  <sheetFormatPr defaultRowHeight="14.5" x14ac:dyDescent="0.35"/>
  <cols>
    <col min="1" max="1" width="45.453125" customWidth="1"/>
    <col min="2" max="2" width="40" customWidth="1"/>
    <col min="3" max="3" width="36.36328125" customWidth="1"/>
    <col min="4" max="4" width="18.1796875" customWidth="1"/>
  </cols>
  <sheetData>
    <row r="1" spans="1:4" ht="18.5" x14ac:dyDescent="0.45">
      <c r="A1" s="19" t="s">
        <v>1277</v>
      </c>
      <c r="B1" s="10"/>
      <c r="C1" s="10"/>
      <c r="D1" s="10"/>
    </row>
    <row r="3" spans="1:4" x14ac:dyDescent="0.35">
      <c r="A3" s="12" t="s">
        <v>1278</v>
      </c>
      <c r="B3" s="12" t="s">
        <v>1279</v>
      </c>
      <c r="C3" s="12" t="s">
        <v>1280</v>
      </c>
      <c r="D3" s="12" t="s">
        <v>1281</v>
      </c>
    </row>
    <row r="4" spans="1:4" x14ac:dyDescent="0.35">
      <c r="A4" s="1" t="s">
        <v>1282</v>
      </c>
      <c r="C4" t="s">
        <v>1283</v>
      </c>
      <c r="D4" t="s">
        <v>1284</v>
      </c>
    </row>
    <row r="5" spans="1:4" x14ac:dyDescent="0.35">
      <c r="A5" s="1"/>
      <c r="B5" t="s">
        <v>1285</v>
      </c>
      <c r="C5" t="s">
        <v>1286</v>
      </c>
      <c r="D5" t="s">
        <v>1284</v>
      </c>
    </row>
    <row r="6" spans="1:4" x14ac:dyDescent="0.35">
      <c r="A6" s="1"/>
      <c r="B6" t="s">
        <v>1287</v>
      </c>
      <c r="C6" t="s">
        <v>1288</v>
      </c>
      <c r="D6" t="s">
        <v>1284</v>
      </c>
    </row>
    <row r="7" spans="1:4" x14ac:dyDescent="0.35">
      <c r="A7" s="1"/>
      <c r="B7" t="s">
        <v>1289</v>
      </c>
      <c r="C7" t="s">
        <v>1290</v>
      </c>
      <c r="D7" t="s">
        <v>1284</v>
      </c>
    </row>
    <row r="8" spans="1:4" x14ac:dyDescent="0.35">
      <c r="A8" s="1"/>
      <c r="B8" t="s">
        <v>1291</v>
      </c>
      <c r="C8" t="s">
        <v>1292</v>
      </c>
      <c r="D8" t="s">
        <v>1293</v>
      </c>
    </row>
    <row r="9" spans="1:4" x14ac:dyDescent="0.35">
      <c r="B9" t="s">
        <v>1294</v>
      </c>
    </row>
    <row r="10" spans="1:4" x14ac:dyDescent="0.35">
      <c r="B10" t="s">
        <v>1295</v>
      </c>
    </row>
    <row r="11" spans="1:4" x14ac:dyDescent="0.35">
      <c r="B11" t="s">
        <v>1296</v>
      </c>
      <c r="C11" t="s">
        <v>1297</v>
      </c>
    </row>
    <row r="12" spans="1:4" x14ac:dyDescent="0.35">
      <c r="B12" t="s">
        <v>1298</v>
      </c>
    </row>
    <row r="13" spans="1:4" x14ac:dyDescent="0.35">
      <c r="B13" t="s">
        <v>1299</v>
      </c>
    </row>
    <row r="14" spans="1:4" x14ac:dyDescent="0.35">
      <c r="B14" t="s">
        <v>1300</v>
      </c>
    </row>
    <row r="15" spans="1:4" x14ac:dyDescent="0.35">
      <c r="B15" t="s">
        <v>1301</v>
      </c>
    </row>
    <row r="16" spans="1:4" x14ac:dyDescent="0.35">
      <c r="A16" s="1"/>
      <c r="B16" t="s">
        <v>1302</v>
      </c>
      <c r="C16" t="s">
        <v>1303</v>
      </c>
      <c r="D16" t="s">
        <v>1293</v>
      </c>
    </row>
    <row r="17" spans="1:4" x14ac:dyDescent="0.35">
      <c r="B17" t="s">
        <v>1304</v>
      </c>
    </row>
    <row r="18" spans="1:4" x14ac:dyDescent="0.35">
      <c r="B18" t="s">
        <v>1305</v>
      </c>
    </row>
    <row r="19" spans="1:4" x14ac:dyDescent="0.35">
      <c r="B19" t="s">
        <v>1306</v>
      </c>
    </row>
    <row r="20" spans="1:4" x14ac:dyDescent="0.35">
      <c r="B20" t="s">
        <v>1307</v>
      </c>
      <c r="C20" t="s">
        <v>1308</v>
      </c>
    </row>
    <row r="21" spans="1:4" x14ac:dyDescent="0.35">
      <c r="B21" t="s">
        <v>1309</v>
      </c>
      <c r="C21" t="s">
        <v>1310</v>
      </c>
    </row>
    <row r="22" spans="1:4" x14ac:dyDescent="0.35">
      <c r="B22" t="s">
        <v>1311</v>
      </c>
    </row>
    <row r="23" spans="1:4" x14ac:dyDescent="0.35">
      <c r="B23" t="s">
        <v>1312</v>
      </c>
    </row>
    <row r="24" spans="1:4" x14ac:dyDescent="0.35">
      <c r="B24" t="s">
        <v>1305</v>
      </c>
    </row>
    <row r="25" spans="1:4" x14ac:dyDescent="0.35">
      <c r="B25" t="s">
        <v>1313</v>
      </c>
      <c r="C25" t="s">
        <v>1314</v>
      </c>
    </row>
    <row r="26" spans="1:4" x14ac:dyDescent="0.35">
      <c r="B26" t="s">
        <v>1315</v>
      </c>
      <c r="C26" t="s">
        <v>1316</v>
      </c>
    </row>
    <row r="27" spans="1:4" x14ac:dyDescent="0.35">
      <c r="A27" s="1"/>
      <c r="B27" t="s">
        <v>1317</v>
      </c>
      <c r="C27" t="s">
        <v>1318</v>
      </c>
      <c r="D27" t="s">
        <v>1284</v>
      </c>
    </row>
    <row r="28" spans="1:4" x14ac:dyDescent="0.35">
      <c r="A28" s="1"/>
      <c r="B28" t="s">
        <v>1319</v>
      </c>
      <c r="C28" t="s">
        <v>1320</v>
      </c>
      <c r="D28" t="s">
        <v>32</v>
      </c>
    </row>
    <row r="29" spans="1:4" x14ac:dyDescent="0.35">
      <c r="A29" s="1"/>
      <c r="B29" t="s">
        <v>1321</v>
      </c>
      <c r="C29" t="s">
        <v>1322</v>
      </c>
      <c r="D29" t="s">
        <v>1284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USUARIOS</vt:lpstr>
      <vt:lpstr>REGISTROS_ATIVIDADES</vt:lpstr>
      <vt:lpstr>TIPOS_ATIVIDADE</vt:lpstr>
      <vt:lpstr>PARCEIRAS</vt:lpstr>
      <vt:lpstr>FOTOS_ATIVIDADES</vt:lpstr>
      <vt:lpstr>ACOES_PENDENCIAS</vt:lpstr>
      <vt:lpstr>CONFIGURACOES</vt:lpstr>
      <vt:lpstr>LOG_ALTERACOES</vt:lpstr>
      <vt:lpstr>DASHBOARD</vt:lpstr>
      <vt:lpstr>DICIONARIO_DADOS</vt:lpstr>
      <vt:lpstr>EXPRESSOES_APPSHEET</vt:lpstr>
      <vt:lpstr>SCRIPTS_APPS_SCRIPT</vt:lpstr>
      <vt:lpstr>MANUAL_USUARIO</vt:lpstr>
      <vt:lpstr>PLANO_TESTES</vt:lpstr>
      <vt:lpstr>CHECKLIST_IMPLEMENTACAO</vt:lpstr>
      <vt:lpstr>ESTRUTURA_PASTAS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campos</dc:creator>
  <cp:lastModifiedBy>gilmar campos</cp:lastModifiedBy>
  <dcterms:created xsi:type="dcterms:W3CDTF">2026-07-27T14:16:35Z</dcterms:created>
  <dcterms:modified xsi:type="dcterms:W3CDTF">2026-07-27T14:31:44Z</dcterms:modified>
</cp:coreProperties>
</file>